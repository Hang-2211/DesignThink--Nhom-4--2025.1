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Chart" sheetId="1" r:id="rId4"/>
    <sheet state="visible" name="Icon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">
      <text>
        <t xml:space="preserve">Cấu trúc phân chia công việc:
Level 1: 1, 2, 3, ...
Level 2: 1.1, 1.2, 1.3,
Level 3: 1.1.1, 1.1.2,
Cấu trúc phân chia công việc sử dụng một công thức để kiểm soát việc đánh số, các công thức khác nhau ở các cấp độ khác nhau.</t>
      </text>
    </comment>
    <comment authorId="0" ref="B8">
      <text>
        <t xml:space="preserve">Nhiệm vụ:
Đặt tên cho mỗi nhiệm vụ chính và nhiệm vụ con. </t>
      </text>
    </comment>
    <comment authorId="0" ref="C8">
      <text>
        <t xml:space="preserve">Ngươi thực hiện chính
Viết tên người thực hiện công việc chính vào cột</t>
      </text>
    </comment>
    <comment authorId="0" ref="E8">
      <text>
        <t xml:space="preserve">Ngày bắt đầu nhiệm vụ:
Có thể nhập Ngày bắt đầu cho từng nhiệm vụ bằng thủ công hoặc sử dụng công thức để tạo phần phụ thuộc vào Người trước. Ví dụ: có thể nhập = enddate + 1 để đặt Ngày bắt đầu thành ngày lịch tiếp theo hoặc = WORKDAY (ngày kết thúc, 1) để đặt Ngày bắt đầu thành ngày làm việc tiếp theo (không bao gồm ngày cuối tuần), trong đó ngày cuối là tham chiếu ô cho Ngày kết thúc của nhiệm vụ Tiền nhiệm.</t>
      </text>
    </comment>
    <comment authorId="0" ref="F8">
      <text>
        <t xml:space="preserve">Ngày kết thúc:
Được tính toán dựa trên Ngày bắt đầu vadf thời gian của nhiệm vụ</t>
      </text>
    </comment>
    <comment authorId="0" ref="H8">
      <text>
        <t xml:space="preserve">Thời hạn:
Số ngày thực hiện nhiệm vụ </t>
      </text>
    </comment>
    <comment authorId="0" ref="I8">
      <text>
        <t xml:space="preserve">Phần trăm hoàn thành:
Cập nhật tình trạng nhiệm vụ bằng cách nhập % hoàn thành (0% đến 100%)</t>
      </text>
    </comment>
    <comment authorId="0" ref="K8">
      <text>
        <t xml:space="preserve">Ngày làm việc:
Ngày làm việc không bao gồm Thứ Bảy và Chủ Nhât.</t>
      </text>
    </comment>
  </commentList>
</comments>
</file>

<file path=xl/sharedStrings.xml><?xml version="1.0" encoding="utf-8"?>
<sst xmlns="http://schemas.openxmlformats.org/spreadsheetml/2006/main" count="117" uniqueCount="54">
  <si>
    <t>PLAN NHÓM 4</t>
  </si>
  <si>
    <t>Phasor &gt;&gt;</t>
  </si>
  <si>
    <t>Ngày bắt đầu dự án:</t>
  </si>
  <si>
    <t>Tuần hiển thị:</t>
  </si>
  <si>
    <t>Tuần 1</t>
  </si>
  <si>
    <t>Tuần 2</t>
  </si>
  <si>
    <t>Tuần 3</t>
  </si>
  <si>
    <t>Tuần 4</t>
  </si>
  <si>
    <t>Tuần 5</t>
  </si>
  <si>
    <t>Tuần 7</t>
  </si>
  <si>
    <t>Tuần 8</t>
  </si>
  <si>
    <t>Quản lý dự án:</t>
  </si>
  <si>
    <t>Nhóm 4 (4 tế)</t>
  </si>
  <si>
    <t>V</t>
  </si>
  <si>
    <t>Cấu trúc</t>
  </si>
  <si>
    <t>Nhiệm vụ</t>
  </si>
  <si>
    <t>Người thực hiện chính</t>
  </si>
  <si>
    <t>Weekday Begin</t>
  </si>
  <si>
    <t>Bắt đầu</t>
  </si>
  <si>
    <t>Kết thúc</t>
  </si>
  <si>
    <t>Weekday End</t>
  </si>
  <si>
    <t>Số ngày</t>
  </si>
  <si>
    <t>Tiến độ Hoàn thành</t>
  </si>
  <si>
    <t>Column 11</t>
  </si>
  <si>
    <t>Ngày làm việc</t>
  </si>
  <si>
    <t>H</t>
  </si>
  <si>
    <t>B</t>
  </si>
  <si>
    <t>T</t>
  </si>
  <si>
    <t>N</t>
  </si>
  <si>
    <t>S</t>
  </si>
  <si>
    <t>CN</t>
  </si>
  <si>
    <t>Phân tích và thiết kế hệ thống</t>
  </si>
  <si>
    <t>[Name]</t>
  </si>
  <si>
    <t>Khảo sát địa hình ao nuôi thực tế</t>
  </si>
  <si>
    <t>Thiết kế sơ đồ hệ thống</t>
  </si>
  <si>
    <t>Lập danh mục vật liệu và đặt hàng</t>
  </si>
  <si>
    <t>/</t>
  </si>
  <si>
    <t>Phần cứng</t>
  </si>
  <si>
    <t>Lựa chọn cảm biến (pH, nhiệt độ, oxi hòa tan…)</t>
  </si>
  <si>
    <t>Thiết kế mạch</t>
  </si>
  <si>
    <t>Lắp ráp phần cứng</t>
  </si>
  <si>
    <t>Kiểm tra, điều chỉnh cảm biến và vệ sinh</t>
  </si>
  <si>
    <t>Phần mềm</t>
  </si>
  <si>
    <t>Thiết kế giao diện Web</t>
  </si>
  <si>
    <t>Lập trình thu thập và biểu thị dữ liệu</t>
  </si>
  <si>
    <t>Lập trình lưu trữ và chẩn đoán</t>
  </si>
  <si>
    <t>Lập trình cảnh báo</t>
  </si>
  <si>
    <t>Tích hợp, lắp đặt và vận hành</t>
  </si>
  <si>
    <t>Tích hợp phần cứng và phần mềm</t>
  </si>
  <si>
    <t>Chạy thử nghiệm</t>
  </si>
  <si>
    <t>Sửa lỗi hệ thống</t>
  </si>
  <si>
    <t>Đánh giá và báo cáo</t>
  </si>
  <si>
    <t>[NV]</t>
  </si>
  <si>
    <t>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</si>
</sst>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(dddd)"/>
    <numFmt numFmtId="165" formatCode="d mmm yyyy"/>
    <numFmt numFmtId="166" formatCode="d"/>
    <numFmt numFmtId="167" formatCode="yyyy&quot;\&quot;mm&quot;\&quot;dd"/>
  </numFmts>
  <fonts count="17">
    <font>
      <sz val="10.0"/>
      <color rgb="FF000000"/>
      <name val="Arial"/>
      <scheme val="minor"/>
    </font>
    <font>
      <color theme="1"/>
      <name val="Montserrat"/>
    </font>
    <font>
      <sz val="24.0"/>
      <color theme="1"/>
      <name val="Anton"/>
    </font>
    <font>
      <b/>
      <color theme="1"/>
      <name val="Montserrat"/>
    </font>
    <font>
      <sz val="10.0"/>
      <color rgb="FF000000"/>
      <name val="Montserrat"/>
    </font>
    <font/>
    <font>
      <sz val="10.0"/>
      <color rgb="FF000000"/>
      <name val="Anton"/>
    </font>
    <font>
      <b/>
      <sz val="9.0"/>
      <color rgb="FF000000"/>
      <name val="Montserrat"/>
    </font>
    <font>
      <b/>
      <i/>
      <sz val="10.0"/>
      <color rgb="FF000000"/>
      <name val="Montserrat"/>
    </font>
    <font>
      <sz val="9.0"/>
      <color rgb="FF000000"/>
      <name val="Montserrat"/>
    </font>
    <font>
      <b/>
      <color rgb="FFE6B8AF"/>
      <name val="Montserrat"/>
    </font>
    <font>
      <sz val="8.0"/>
      <color rgb="FF000000"/>
      <name val="Montserrat"/>
    </font>
    <font>
      <b/>
      <sz val="5.0"/>
      <color theme="1"/>
      <name val="Montserrat"/>
    </font>
    <font>
      <sz val="8.0"/>
      <color rgb="FFFFFFFF"/>
      <name val="Montserrat"/>
    </font>
    <font>
      <sz val="7.0"/>
      <color rgb="FFFFFFFF"/>
      <name val="Montserrat"/>
    </font>
    <font>
      <color theme="1"/>
      <name val="Arial"/>
      <scheme val="minor"/>
    </font>
    <font>
      <sz val="9.0"/>
      <color theme="1"/>
      <name val="Montserrat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980000"/>
        <bgColor rgb="FF980000"/>
      </patternFill>
    </fill>
    <fill>
      <patternFill patternType="solid">
        <fgColor rgb="FF666666"/>
        <bgColor rgb="FF666666"/>
      </patternFill>
    </fill>
    <fill>
      <patternFill patternType="solid">
        <fgColor rgb="FFF1C232"/>
        <bgColor rgb="FFF1C232"/>
      </patternFill>
    </fill>
    <fill>
      <patternFill patternType="solid">
        <fgColor rgb="FFD6F4D9"/>
        <bgColor rgb="FFD6F4D9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  <fill>
      <patternFill patternType="solid">
        <fgColor rgb="FF76A5AF"/>
        <bgColor rgb="FF76A5AF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</fills>
  <borders count="7">
    <border/>
    <border>
      <bottom style="thin">
        <color rgb="FF999999"/>
      </bottom>
    </border>
    <border>
      <left style="thin">
        <color rgb="FFB7B7B7"/>
      </left>
    </border>
    <border>
      <right style="thin">
        <color rgb="FFB7B7B7"/>
      </right>
    </border>
    <border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top style="thin">
        <color rgb="FFEFEFEF"/>
      </top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right" readingOrder="0" vertical="center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center" readingOrder="0" shrinkToFit="0" vertical="bottom" wrapText="0"/>
    </xf>
    <xf borderId="1" fillId="0" fontId="4" numFmtId="164" xfId="0" applyAlignment="1" applyBorder="1" applyFont="1" applyNumberFormat="1">
      <alignment horizontal="center" readingOrder="0" shrinkToFit="0" vertical="bottom" wrapText="0"/>
    </xf>
    <xf borderId="1" fillId="0" fontId="5" numFmtId="0" xfId="0" applyBorder="1" applyFont="1"/>
    <xf borderId="1" fillId="2" fontId="6" numFmtId="0" xfId="0" applyAlignment="1" applyBorder="1" applyFill="1" applyFont="1">
      <alignment horizontal="center" readingOrder="0" shrinkToFit="0" vertical="bottom" wrapText="0"/>
    </xf>
    <xf borderId="2" fillId="0" fontId="7" numFmtId="0" xfId="0" applyAlignment="1" applyBorder="1" applyFont="1">
      <alignment horizontal="center" readingOrder="0" shrinkToFit="0" vertical="center" wrapText="0"/>
    </xf>
    <xf borderId="3" fillId="0" fontId="5" numFmtId="0" xfId="0" applyBorder="1" applyFont="1"/>
    <xf borderId="0" fillId="0" fontId="4" numFmtId="0" xfId="0" applyAlignment="1" applyFont="1">
      <alignment horizontal="right" readingOrder="0" vertical="center"/>
    </xf>
    <xf borderId="0" fillId="0" fontId="4" numFmtId="0" xfId="0" applyAlignment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2" fillId="0" fontId="9" numFmtId="165" xfId="0" applyAlignment="1" applyBorder="1" applyFont="1" applyNumberFormat="1">
      <alignment horizontal="center" shrinkToFit="0" vertical="center" wrapText="0"/>
    </xf>
    <xf borderId="0" fillId="3" fontId="10" numFmtId="0" xfId="0" applyAlignment="1" applyFill="1" applyFont="1">
      <alignment horizontal="center" readingOrder="0" vertical="center"/>
    </xf>
    <xf borderId="2" fillId="0" fontId="11" numFmtId="166" xfId="0" applyAlignment="1" applyBorder="1" applyFont="1" applyNumberFormat="1">
      <alignment horizontal="center" vertical="center"/>
    </xf>
    <xf borderId="0" fillId="0" fontId="11" numFmtId="166" xfId="0" applyAlignment="1" applyFont="1" applyNumberFormat="1">
      <alignment horizontal="center" vertical="center"/>
    </xf>
    <xf borderId="3" fillId="0" fontId="11" numFmtId="166" xfId="0" applyAlignment="1" applyBorder="1" applyFont="1" applyNumberFormat="1">
      <alignment horizontal="center" vertical="center"/>
    </xf>
    <xf borderId="0" fillId="0" fontId="12" numFmtId="0" xfId="0" applyAlignment="1" applyFont="1">
      <alignment horizontal="left" readingOrder="0" shrinkToFit="0" vertical="center" wrapText="1"/>
    </xf>
    <xf borderId="0" fillId="0" fontId="12" numFmtId="49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4" fillId="4" fontId="13" numFmtId="0" xfId="0" applyAlignment="1" applyBorder="1" applyFill="1" applyFont="1">
      <alignment horizontal="center" readingOrder="0" shrinkToFit="0" vertical="center" wrapText="0"/>
    </xf>
    <xf borderId="4" fillId="4" fontId="14" numFmtId="0" xfId="0" applyAlignment="1" applyBorder="1" applyFont="1">
      <alignment horizontal="center" readingOrder="0" shrinkToFit="0" vertical="center" wrapText="0"/>
    </xf>
    <xf borderId="4" fillId="5" fontId="7" numFmtId="0" xfId="0" applyAlignment="1" applyBorder="1" applyFill="1" applyFont="1">
      <alignment horizontal="left" shrinkToFit="0" vertical="center" wrapText="0"/>
    </xf>
    <xf borderId="4" fillId="5" fontId="7" numFmtId="0" xfId="0" applyAlignment="1" applyBorder="1" applyFont="1">
      <alignment readingOrder="0" shrinkToFit="0" vertical="center" wrapText="0"/>
    </xf>
    <xf borderId="4" fillId="5" fontId="7" numFmtId="0" xfId="0" applyAlignment="1" applyBorder="1" applyFont="1">
      <alignment readingOrder="0" shrinkToFit="0" vertical="center" wrapText="0"/>
    </xf>
    <xf borderId="4" fillId="5" fontId="7" numFmtId="167" xfId="0" applyAlignment="1" applyBorder="1" applyFont="1" applyNumberFormat="1">
      <alignment horizontal="center" shrinkToFit="0" vertical="center" wrapText="0"/>
    </xf>
    <xf borderId="5" fillId="5" fontId="7" numFmtId="167" xfId="0" applyAlignment="1" applyBorder="1" applyFont="1" applyNumberFormat="1">
      <alignment horizontal="center" shrinkToFit="0" vertical="center" wrapText="0"/>
    </xf>
    <xf borderId="5" fillId="5" fontId="7" numFmtId="1" xfId="0" applyAlignment="1" applyBorder="1" applyFont="1" applyNumberFormat="1">
      <alignment shrinkToFit="0" vertical="center" wrapText="0"/>
    </xf>
    <xf borderId="5" fillId="5" fontId="7" numFmtId="9" xfId="0" applyAlignment="1" applyBorder="1" applyFont="1" applyNumberFormat="1">
      <alignment shrinkToFit="0" vertical="center" wrapText="0"/>
    </xf>
    <xf borderId="5" fillId="5" fontId="7" numFmtId="1" xfId="0" applyAlignment="1" applyBorder="1" applyFont="1" applyNumberFormat="1">
      <alignment horizontal="center" shrinkToFit="0" vertical="center" wrapText="0"/>
    </xf>
    <xf borderId="5" fillId="5" fontId="7" numFmtId="0" xfId="0" applyAlignment="1" applyBorder="1" applyFont="1">
      <alignment horizontal="center" shrinkToFit="0" vertical="center" wrapText="0"/>
    </xf>
    <xf borderId="5" fillId="0" fontId="9" numFmtId="0" xfId="0" applyAlignment="1" applyBorder="1" applyFont="1">
      <alignment horizontal="left" shrinkToFit="0" vertical="center" wrapText="0"/>
    </xf>
    <xf borderId="0" fillId="0" fontId="15" numFmtId="0" xfId="0" applyAlignment="1" applyFont="1">
      <alignment readingOrder="0" shrinkToFit="0" vertical="center" wrapText="0"/>
    </xf>
    <xf borderId="5" fillId="0" fontId="9" numFmtId="0" xfId="0" applyAlignment="1" applyBorder="1" applyFont="1">
      <alignment readingOrder="0" shrinkToFit="0" vertical="center" wrapText="0"/>
    </xf>
    <xf borderId="5" fillId="6" fontId="9" numFmtId="167" xfId="0" applyAlignment="1" applyBorder="1" applyFill="1" applyFont="1" applyNumberFormat="1">
      <alignment horizontal="center" shrinkToFit="0" vertical="center" wrapText="0"/>
    </xf>
    <xf borderId="5" fillId="7" fontId="9" numFmtId="167" xfId="0" applyAlignment="1" applyBorder="1" applyFill="1" applyFont="1" applyNumberFormat="1">
      <alignment horizontal="center" shrinkToFit="0" vertical="center" wrapText="0"/>
    </xf>
    <xf borderId="5" fillId="6" fontId="9" numFmtId="1" xfId="0" applyAlignment="1" applyBorder="1" applyFont="1" applyNumberFormat="1">
      <alignment readingOrder="0" shrinkToFit="0" vertical="center" wrapText="0"/>
    </xf>
    <xf borderId="5" fillId="6" fontId="9" numFmtId="9" xfId="0" applyAlignment="1" applyBorder="1" applyFont="1" applyNumberFormat="1">
      <alignment readingOrder="0" shrinkToFit="0" vertical="center" wrapText="0"/>
    </xf>
    <xf borderId="5" fillId="0" fontId="9" numFmtId="1" xfId="0" applyAlignment="1" applyBorder="1" applyFont="1" applyNumberFormat="1">
      <alignment readingOrder="0" shrinkToFit="0" vertical="center" wrapText="0"/>
    </xf>
    <xf borderId="5" fillId="0" fontId="9" numFmtId="1" xfId="0" applyAlignment="1" applyBorder="1" applyFont="1" applyNumberFormat="1">
      <alignment horizontal="center" shrinkToFit="0" vertical="center" wrapText="0"/>
    </xf>
    <xf borderId="5" fillId="0" fontId="9" numFmtId="0" xfId="0" applyAlignment="1" applyBorder="1" applyFont="1">
      <alignment horizontal="center" shrinkToFit="0" vertical="center" wrapText="0"/>
    </xf>
    <xf borderId="5" fillId="6" fontId="9" numFmtId="167" xfId="0" applyAlignment="1" applyBorder="1" applyFont="1" applyNumberFormat="1">
      <alignment horizontal="center" readingOrder="0" shrinkToFit="0" vertical="center" wrapText="0"/>
    </xf>
    <xf borderId="5" fillId="0" fontId="9" numFmtId="0" xfId="0" applyAlignment="1" applyBorder="1" applyFont="1">
      <alignment horizontal="center" readingOrder="0" shrinkToFit="0" vertical="center" wrapText="0"/>
    </xf>
    <xf borderId="5" fillId="0" fontId="9" numFmtId="1" xfId="0" applyAlignment="1" applyBorder="1" applyFont="1" applyNumberFormat="1">
      <alignment shrinkToFit="0" vertical="center" wrapText="0"/>
    </xf>
    <xf borderId="5" fillId="0" fontId="9" numFmtId="0" xfId="0" applyAlignment="1" applyBorder="1" applyFont="1">
      <alignment readingOrder="0" shrinkToFit="0" vertical="center" wrapText="0"/>
    </xf>
    <xf borderId="5" fillId="0" fontId="9" numFmtId="0" xfId="0" applyAlignment="1" applyBorder="1" applyFont="1">
      <alignment shrinkToFit="0" vertical="center" wrapText="0"/>
    </xf>
    <xf borderId="5" fillId="8" fontId="7" numFmtId="0" xfId="0" applyAlignment="1" applyBorder="1" applyFill="1" applyFont="1">
      <alignment horizontal="left" shrinkToFit="0" vertical="center" wrapText="0"/>
    </xf>
    <xf borderId="4" fillId="8" fontId="7" numFmtId="0" xfId="0" applyAlignment="1" applyBorder="1" applyFont="1">
      <alignment readingOrder="0" shrinkToFit="0" vertical="center" wrapText="0"/>
    </xf>
    <xf borderId="5" fillId="8" fontId="7" numFmtId="0" xfId="0" applyAlignment="1" applyBorder="1" applyFont="1">
      <alignment readingOrder="0" shrinkToFit="0" vertical="center" wrapText="0"/>
    </xf>
    <xf borderId="5" fillId="8" fontId="7" numFmtId="167" xfId="0" applyAlignment="1" applyBorder="1" applyFont="1" applyNumberFormat="1">
      <alignment horizontal="center" shrinkToFit="0" vertical="center" wrapText="0"/>
    </xf>
    <xf borderId="5" fillId="8" fontId="7" numFmtId="1" xfId="0" applyAlignment="1" applyBorder="1" applyFont="1" applyNumberFormat="1">
      <alignment shrinkToFit="0" vertical="center" wrapText="0"/>
    </xf>
    <xf borderId="5" fillId="8" fontId="7" numFmtId="9" xfId="0" applyAlignment="1" applyBorder="1" applyFont="1" applyNumberFormat="1">
      <alignment shrinkToFit="0" vertical="center" wrapText="0"/>
    </xf>
    <xf borderId="5" fillId="8" fontId="7" numFmtId="1" xfId="0" applyAlignment="1" applyBorder="1" applyFont="1" applyNumberFormat="1">
      <alignment horizontal="center" shrinkToFit="0" vertical="center" wrapText="0"/>
    </xf>
    <xf borderId="5" fillId="8" fontId="7" numFmtId="0" xfId="0" applyAlignment="1" applyBorder="1" applyFont="1">
      <alignment horizontal="center" shrinkToFit="0" vertical="center" wrapText="0"/>
    </xf>
    <xf borderId="5" fillId="0" fontId="9" numFmtId="9" xfId="0" applyAlignment="1" applyBorder="1" applyFont="1" applyNumberFormat="1">
      <alignment shrinkToFit="0" vertical="center" wrapText="0"/>
    </xf>
    <xf borderId="5" fillId="9" fontId="7" numFmtId="0" xfId="0" applyAlignment="1" applyBorder="1" applyFill="1" applyFont="1">
      <alignment horizontal="left" shrinkToFit="0" vertical="center" wrapText="0"/>
    </xf>
    <xf borderId="4" fillId="9" fontId="7" numFmtId="0" xfId="0" applyAlignment="1" applyBorder="1" applyFont="1">
      <alignment readingOrder="0" shrinkToFit="0" vertical="center" wrapText="0"/>
    </xf>
    <xf borderId="5" fillId="9" fontId="7" numFmtId="0" xfId="0" applyAlignment="1" applyBorder="1" applyFont="1">
      <alignment readingOrder="0" shrinkToFit="0" vertical="center" wrapText="0"/>
    </xf>
    <xf borderId="5" fillId="9" fontId="7" numFmtId="167" xfId="0" applyAlignment="1" applyBorder="1" applyFont="1" applyNumberFormat="1">
      <alignment horizontal="center" shrinkToFit="0" vertical="center" wrapText="0"/>
    </xf>
    <xf borderId="5" fillId="9" fontId="7" numFmtId="1" xfId="0" applyAlignment="1" applyBorder="1" applyFont="1" applyNumberFormat="1">
      <alignment shrinkToFit="0" vertical="center" wrapText="0"/>
    </xf>
    <xf borderId="5" fillId="9" fontId="7" numFmtId="9" xfId="0" applyAlignment="1" applyBorder="1" applyFont="1" applyNumberFormat="1">
      <alignment shrinkToFit="0" vertical="center" wrapText="0"/>
    </xf>
    <xf borderId="5" fillId="9" fontId="7" numFmtId="1" xfId="0" applyAlignment="1" applyBorder="1" applyFont="1" applyNumberFormat="1">
      <alignment horizontal="center" shrinkToFit="0" vertical="center" wrapText="0"/>
    </xf>
    <xf borderId="5" fillId="9" fontId="7" numFmtId="0" xfId="0" applyAlignment="1" applyBorder="1" applyFont="1">
      <alignment horizontal="center" shrinkToFit="0" vertical="center" wrapText="0"/>
    </xf>
    <xf borderId="5" fillId="0" fontId="9" numFmtId="0" xfId="0" applyAlignment="1" applyBorder="1" applyFont="1">
      <alignment readingOrder="0" shrinkToFit="0" vertical="center" wrapText="0"/>
    </xf>
    <xf borderId="5" fillId="10" fontId="7" numFmtId="0" xfId="0" applyAlignment="1" applyBorder="1" applyFill="1" applyFont="1">
      <alignment horizontal="left" shrinkToFit="0" vertical="center" wrapText="0"/>
    </xf>
    <xf borderId="4" fillId="10" fontId="7" numFmtId="0" xfId="0" applyAlignment="1" applyBorder="1" applyFont="1">
      <alignment readingOrder="0" shrinkToFit="0" vertical="center" wrapText="0"/>
    </xf>
    <xf borderId="5" fillId="10" fontId="7" numFmtId="0" xfId="0" applyAlignment="1" applyBorder="1" applyFont="1">
      <alignment readingOrder="0" shrinkToFit="0" vertical="center" wrapText="0"/>
    </xf>
    <xf borderId="5" fillId="10" fontId="7" numFmtId="167" xfId="0" applyAlignment="1" applyBorder="1" applyFont="1" applyNumberFormat="1">
      <alignment horizontal="center" shrinkToFit="0" vertical="center" wrapText="0"/>
    </xf>
    <xf borderId="5" fillId="10" fontId="7" numFmtId="1" xfId="0" applyAlignment="1" applyBorder="1" applyFont="1" applyNumberFormat="1">
      <alignment shrinkToFit="0" vertical="center" wrapText="0"/>
    </xf>
    <xf borderId="5" fillId="10" fontId="7" numFmtId="9" xfId="0" applyAlignment="1" applyBorder="1" applyFont="1" applyNumberFormat="1">
      <alignment shrinkToFit="0" vertical="center" wrapText="0"/>
    </xf>
    <xf borderId="5" fillId="10" fontId="7" numFmtId="1" xfId="0" applyAlignment="1" applyBorder="1" applyFont="1" applyNumberFormat="1">
      <alignment horizontal="center" shrinkToFit="0" vertical="center" wrapText="0"/>
    </xf>
    <xf borderId="5" fillId="10" fontId="7" numFmtId="0" xfId="0" applyAlignment="1" applyBorder="1" applyFont="1">
      <alignment horizontal="center" shrinkToFit="0" vertical="center" wrapText="0"/>
    </xf>
    <xf borderId="5" fillId="7" fontId="16" numFmtId="167" xfId="0" applyAlignment="1" applyBorder="1" applyFont="1" applyNumberFormat="1">
      <alignment horizontal="center" shrinkToFit="0" vertical="center" wrapText="0"/>
    </xf>
    <xf borderId="5" fillId="0" fontId="16" numFmtId="1" xfId="0" applyAlignment="1" applyBorder="1" applyFont="1" applyNumberFormat="1">
      <alignment shrinkToFit="0" vertical="center" wrapText="0"/>
    </xf>
    <xf borderId="5" fillId="0" fontId="16" numFmtId="9" xfId="0" applyAlignment="1" applyBorder="1" applyFont="1" applyNumberFormat="1">
      <alignment shrinkToFit="0" vertical="center" wrapText="0"/>
    </xf>
    <xf borderId="5" fillId="0" fontId="16" numFmtId="1" xfId="0" applyAlignment="1" applyBorder="1" applyFont="1" applyNumberFormat="1">
      <alignment vertical="center"/>
    </xf>
    <xf borderId="5" fillId="0" fontId="16" numFmtId="0" xfId="0" applyAlignment="1" applyBorder="1" applyFont="1">
      <alignment vertical="center"/>
    </xf>
    <xf borderId="5" fillId="11" fontId="7" numFmtId="0" xfId="0" applyAlignment="1" applyBorder="1" applyFill="1" applyFont="1">
      <alignment horizontal="left" shrinkToFit="0" vertical="center" wrapText="0"/>
    </xf>
    <xf borderId="4" fillId="11" fontId="7" numFmtId="0" xfId="0" applyAlignment="1" applyBorder="1" applyFont="1">
      <alignment readingOrder="0" shrinkToFit="0" vertical="center" wrapText="0"/>
    </xf>
    <xf borderId="5" fillId="11" fontId="7" numFmtId="0" xfId="0" applyAlignment="1" applyBorder="1" applyFont="1">
      <alignment readingOrder="0" shrinkToFit="0" vertical="center" wrapText="0"/>
    </xf>
    <xf borderId="5" fillId="11" fontId="7" numFmtId="167" xfId="0" applyAlignment="1" applyBorder="1" applyFont="1" applyNumberFormat="1">
      <alignment horizontal="center" shrinkToFit="0" vertical="center" wrapText="0"/>
    </xf>
    <xf borderId="5" fillId="11" fontId="7" numFmtId="167" xfId="0" applyAlignment="1" applyBorder="1" applyFont="1" applyNumberFormat="1">
      <alignment horizontal="center" readingOrder="0" shrinkToFit="0" vertical="center" wrapText="0"/>
    </xf>
    <xf borderId="5" fillId="11" fontId="7" numFmtId="1" xfId="0" applyAlignment="1" applyBorder="1" applyFont="1" applyNumberFormat="1">
      <alignment shrinkToFit="0" vertical="center" wrapText="0"/>
    </xf>
    <xf borderId="5" fillId="11" fontId="7" numFmtId="9" xfId="0" applyAlignment="1" applyBorder="1" applyFont="1" applyNumberFormat="1">
      <alignment shrinkToFit="0" vertical="center" wrapText="0"/>
    </xf>
    <xf borderId="5" fillId="11" fontId="7" numFmtId="1" xfId="0" applyAlignment="1" applyBorder="1" applyFont="1" applyNumberFormat="1">
      <alignment horizontal="center" shrinkToFit="0" vertical="center" wrapText="0"/>
    </xf>
    <xf borderId="5" fillId="11" fontId="7" numFmtId="0" xfId="0" applyAlignment="1" applyBorder="1" applyFont="1">
      <alignment horizontal="center" shrinkToFit="0" vertical="center" wrapText="0"/>
    </xf>
    <xf borderId="5" fillId="0" fontId="16" numFmtId="0" xfId="0" applyAlignment="1" applyBorder="1" applyFont="1">
      <alignment horizontal="center" vertical="center"/>
    </xf>
    <xf borderId="6" fillId="0" fontId="16" numFmtId="0" xfId="0" applyAlignment="1" applyBorder="1" applyFont="1">
      <alignment vertical="center"/>
    </xf>
    <xf borderId="6" fillId="0" fontId="16" numFmtId="0" xfId="0" applyAlignment="1" applyBorder="1" applyFont="1">
      <alignment horizontal="center" vertical="center"/>
    </xf>
    <xf borderId="0" fillId="0" fontId="15" numFmtId="0" xfId="0" applyAlignment="1" applyFont="1">
      <alignment readingOrder="0"/>
    </xf>
    <xf borderId="0" fillId="0" fontId="15" numFmtId="9" xfId="0" applyAlignment="1" applyFont="1" applyNumberFormat="1">
      <alignment readingOrder="0"/>
    </xf>
    <xf borderId="0" fillId="0" fontId="15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0C343D"/>
      </font>
      <fill>
        <patternFill patternType="solid">
          <fgColor rgb="FF76A5AF"/>
          <bgColor rgb="FF76A5AF"/>
        </patternFill>
      </fill>
      <border/>
    </dxf>
    <dxf>
      <font>
        <color rgb="FFD0E0E3"/>
      </font>
      <fill>
        <patternFill patternType="solid">
          <fgColor rgb="FF134F5C"/>
          <bgColor rgb="FF134F5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4" pivot="0" name="GanttCha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Relationship Id="rId3" Type="http://schemas.openxmlformats.org/officeDocument/2006/relationships/image" Target="../media/image2.png"/><Relationship Id="rId4" Type="http://schemas.openxmlformats.org/officeDocument/2006/relationships/image" Target="../media/image6.png"/><Relationship Id="rId11" Type="http://schemas.openxmlformats.org/officeDocument/2006/relationships/image" Target="../media/image3.png"/><Relationship Id="rId10" Type="http://schemas.openxmlformats.org/officeDocument/2006/relationships/image" Target="../media/image9.png"/><Relationship Id="rId9" Type="http://schemas.openxmlformats.org/officeDocument/2006/relationships/image" Target="../media/image5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1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2619375" cy="523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619375" cy="52387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619375" cy="5238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619375" cy="5238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619375" cy="52387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619375" cy="52387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619375" cy="523875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619375" cy="52387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619375" cy="5238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619375" cy="52387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619375" cy="52387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8:K42" displayName="Bảng_1" name="Bảng_1" id="1">
  <tableColumns count="11">
    <tableColumn name="Cấu trúc" id="1"/>
    <tableColumn name="Nhiệm vụ" id="2"/>
    <tableColumn name="Người thực hiện chính" id="3"/>
    <tableColumn name="Weekday Begin" id="4"/>
    <tableColumn name="Bắt đầu" id="5"/>
    <tableColumn name="Kết thúc" id="6"/>
    <tableColumn name="Weekday End" id="7"/>
    <tableColumn name="Số ngày" id="8"/>
    <tableColumn name="Tiến độ Hoàn thành" id="9"/>
    <tableColumn name="Column 11" id="10"/>
    <tableColumn name="Ngày làm việc" id="11"/>
  </tableColumns>
  <tableStyleInfo name="GanttCha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75"/>
  <cols>
    <col customWidth="1" min="1" max="1" width="6.5"/>
    <col customWidth="1" min="2" max="2" width="39.25"/>
    <col customWidth="1" hidden="1" min="3" max="3" width="13.0"/>
    <col customWidth="1" hidden="1" min="4" max="4" width="7.5"/>
    <col customWidth="1" min="5" max="5" width="11.63"/>
    <col customWidth="1" min="6" max="6" width="12.38"/>
    <col customWidth="1" hidden="1" min="7" max="7" width="10.88"/>
    <col customWidth="1" min="8" max="8" width="5.63"/>
    <col customWidth="1" min="9" max="10" width="17.38"/>
    <col customWidth="1" min="11" max="11" width="10.13"/>
    <col customWidth="1" min="12" max="12" width="3.25"/>
    <col customWidth="1" min="13" max="68" width="2.25"/>
  </cols>
  <sheetData>
    <row r="1" ht="24.0" customHeight="1">
      <c r="A1" s="1"/>
      <c r="B1" s="2" t="s">
        <v>0</v>
      </c>
      <c r="C1" s="1"/>
      <c r="D1" s="3"/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>
      <c r="A2" s="1"/>
      <c r="B2" s="1"/>
      <c r="C2" s="1"/>
      <c r="D2" s="3"/>
      <c r="E2" s="3"/>
      <c r="F2" s="3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>
      <c r="A3" s="1"/>
      <c r="B3" s="1"/>
      <c r="C3" s="1"/>
      <c r="D3" s="3"/>
      <c r="E3" s="3"/>
      <c r="F3" s="3"/>
      <c r="G3" s="3"/>
      <c r="H3" s="1"/>
      <c r="I3" s="1"/>
      <c r="J3" s="1"/>
      <c r="K3" s="4" t="s">
        <v>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ht="1.5" customHeight="1">
      <c r="A4" s="1"/>
      <c r="B4" s="1"/>
      <c r="C4" s="1"/>
      <c r="D4" s="3"/>
      <c r="E4" s="3"/>
      <c r="F4" s="3"/>
      <c r="G4" s="3"/>
      <c r="H4" s="1"/>
      <c r="I4" s="1"/>
      <c r="J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>
      <c r="A5" s="1"/>
      <c r="B5" s="5" t="s">
        <v>2</v>
      </c>
      <c r="D5" s="6"/>
      <c r="E5" s="7">
        <v>46023.0</v>
      </c>
      <c r="F5" s="8"/>
      <c r="G5" s="6"/>
      <c r="H5" s="5" t="s">
        <v>3</v>
      </c>
      <c r="J5" s="5"/>
      <c r="K5" s="9">
        <v>1.0</v>
      </c>
      <c r="L5" s="1"/>
      <c r="M5" s="10" t="s">
        <v>4</v>
      </c>
      <c r="S5" s="11"/>
      <c r="T5" s="10" t="s">
        <v>5</v>
      </c>
      <c r="Z5" s="11"/>
      <c r="AA5" s="10" t="s">
        <v>6</v>
      </c>
      <c r="AG5" s="11"/>
      <c r="AH5" s="10" t="s">
        <v>7</v>
      </c>
      <c r="AN5" s="11"/>
      <c r="AO5" s="10" t="s">
        <v>8</v>
      </c>
      <c r="AU5" s="11"/>
      <c r="AV5" s="10" t="s">
        <v>8</v>
      </c>
      <c r="BB5" s="11"/>
      <c r="BC5" s="10" t="s">
        <v>9</v>
      </c>
      <c r="BI5" s="11"/>
      <c r="BJ5" s="10" t="s">
        <v>10</v>
      </c>
      <c r="BP5" s="11"/>
    </row>
    <row r="6">
      <c r="A6" s="1"/>
      <c r="B6" s="12" t="s">
        <v>11</v>
      </c>
      <c r="D6" s="13"/>
      <c r="E6" s="14" t="s">
        <v>12</v>
      </c>
      <c r="F6" s="8"/>
      <c r="G6" s="13"/>
      <c r="H6" s="1"/>
      <c r="I6" s="1"/>
      <c r="J6" s="1"/>
      <c r="K6" s="1"/>
      <c r="L6" s="1"/>
      <c r="M6" s="15">
        <f>M7</f>
        <v>46020</v>
      </c>
      <c r="S6" s="11"/>
      <c r="T6" s="15">
        <f>T7</f>
        <v>46027</v>
      </c>
      <c r="Z6" s="11"/>
      <c r="AA6" s="15">
        <f>AA7</f>
        <v>46034</v>
      </c>
      <c r="AG6" s="11"/>
      <c r="AH6" s="15">
        <f>AH7</f>
        <v>46041</v>
      </c>
      <c r="AN6" s="11"/>
      <c r="AO6" s="15">
        <f>AO7</f>
        <v>46048</v>
      </c>
      <c r="AU6" s="11"/>
      <c r="AV6" s="15">
        <f>AV7</f>
        <v>46055</v>
      </c>
      <c r="BB6" s="11"/>
      <c r="BC6" s="15">
        <f>BC7</f>
        <v>46062</v>
      </c>
      <c r="BI6" s="11"/>
      <c r="BJ6" s="15">
        <f>BJ7</f>
        <v>46069</v>
      </c>
      <c r="BP6" s="11"/>
    </row>
    <row r="7" ht="15.75" customHeight="1">
      <c r="A7" s="1"/>
      <c r="B7" s="16" t="s">
        <v>13</v>
      </c>
      <c r="C7" s="16" t="s">
        <v>13</v>
      </c>
      <c r="D7" s="3"/>
      <c r="E7" s="16" t="s">
        <v>13</v>
      </c>
      <c r="F7" s="3"/>
      <c r="G7" s="3"/>
      <c r="H7" s="16" t="s">
        <v>13</v>
      </c>
      <c r="I7" s="1"/>
      <c r="J7" s="1"/>
      <c r="K7" s="1"/>
      <c r="L7" s="1"/>
      <c r="M7" s="17">
        <f>E5-WEEKDAY(E5,1)+2+7*(K5-1)</f>
        <v>46020</v>
      </c>
      <c r="N7" s="18">
        <f t="shared" ref="N7:BP7" si="1">M7+1</f>
        <v>46021</v>
      </c>
      <c r="O7" s="18">
        <f t="shared" si="1"/>
        <v>46022</v>
      </c>
      <c r="P7" s="18">
        <f t="shared" si="1"/>
        <v>46023</v>
      </c>
      <c r="Q7" s="18">
        <f t="shared" si="1"/>
        <v>46024</v>
      </c>
      <c r="R7" s="18">
        <f t="shared" si="1"/>
        <v>46025</v>
      </c>
      <c r="S7" s="19">
        <f t="shared" si="1"/>
        <v>46026</v>
      </c>
      <c r="T7" s="17">
        <f t="shared" si="1"/>
        <v>46027</v>
      </c>
      <c r="U7" s="18">
        <f t="shared" si="1"/>
        <v>46028</v>
      </c>
      <c r="V7" s="18">
        <f t="shared" si="1"/>
        <v>46029</v>
      </c>
      <c r="W7" s="18">
        <f t="shared" si="1"/>
        <v>46030</v>
      </c>
      <c r="X7" s="18">
        <f t="shared" si="1"/>
        <v>46031</v>
      </c>
      <c r="Y7" s="18">
        <f t="shared" si="1"/>
        <v>46032</v>
      </c>
      <c r="Z7" s="19">
        <f t="shared" si="1"/>
        <v>46033</v>
      </c>
      <c r="AA7" s="17">
        <f t="shared" si="1"/>
        <v>46034</v>
      </c>
      <c r="AB7" s="18">
        <f t="shared" si="1"/>
        <v>46035</v>
      </c>
      <c r="AC7" s="18">
        <f t="shared" si="1"/>
        <v>46036</v>
      </c>
      <c r="AD7" s="18">
        <f t="shared" si="1"/>
        <v>46037</v>
      </c>
      <c r="AE7" s="18">
        <f t="shared" si="1"/>
        <v>46038</v>
      </c>
      <c r="AF7" s="18">
        <f t="shared" si="1"/>
        <v>46039</v>
      </c>
      <c r="AG7" s="19">
        <f t="shared" si="1"/>
        <v>46040</v>
      </c>
      <c r="AH7" s="17">
        <f t="shared" si="1"/>
        <v>46041</v>
      </c>
      <c r="AI7" s="18">
        <f t="shared" si="1"/>
        <v>46042</v>
      </c>
      <c r="AJ7" s="18">
        <f t="shared" si="1"/>
        <v>46043</v>
      </c>
      <c r="AK7" s="18">
        <f t="shared" si="1"/>
        <v>46044</v>
      </c>
      <c r="AL7" s="18">
        <f t="shared" si="1"/>
        <v>46045</v>
      </c>
      <c r="AM7" s="18">
        <f t="shared" si="1"/>
        <v>46046</v>
      </c>
      <c r="AN7" s="19">
        <f t="shared" si="1"/>
        <v>46047</v>
      </c>
      <c r="AO7" s="17">
        <f t="shared" si="1"/>
        <v>46048</v>
      </c>
      <c r="AP7" s="18">
        <f t="shared" si="1"/>
        <v>46049</v>
      </c>
      <c r="AQ7" s="18">
        <f t="shared" si="1"/>
        <v>46050</v>
      </c>
      <c r="AR7" s="18">
        <f t="shared" si="1"/>
        <v>46051</v>
      </c>
      <c r="AS7" s="18">
        <f t="shared" si="1"/>
        <v>46052</v>
      </c>
      <c r="AT7" s="18">
        <f t="shared" si="1"/>
        <v>46053</v>
      </c>
      <c r="AU7" s="19">
        <f t="shared" si="1"/>
        <v>46054</v>
      </c>
      <c r="AV7" s="17">
        <f t="shared" si="1"/>
        <v>46055</v>
      </c>
      <c r="AW7" s="18">
        <f t="shared" si="1"/>
        <v>46056</v>
      </c>
      <c r="AX7" s="18">
        <f t="shared" si="1"/>
        <v>46057</v>
      </c>
      <c r="AY7" s="18">
        <f t="shared" si="1"/>
        <v>46058</v>
      </c>
      <c r="AZ7" s="18">
        <f t="shared" si="1"/>
        <v>46059</v>
      </c>
      <c r="BA7" s="18">
        <f t="shared" si="1"/>
        <v>46060</v>
      </c>
      <c r="BB7" s="19">
        <f t="shared" si="1"/>
        <v>46061</v>
      </c>
      <c r="BC7" s="17">
        <f t="shared" si="1"/>
        <v>46062</v>
      </c>
      <c r="BD7" s="18">
        <f t="shared" si="1"/>
        <v>46063</v>
      </c>
      <c r="BE7" s="18">
        <f t="shared" si="1"/>
        <v>46064</v>
      </c>
      <c r="BF7" s="18">
        <f t="shared" si="1"/>
        <v>46065</v>
      </c>
      <c r="BG7" s="18">
        <f t="shared" si="1"/>
        <v>46066</v>
      </c>
      <c r="BH7" s="18">
        <f t="shared" si="1"/>
        <v>46067</v>
      </c>
      <c r="BI7" s="19">
        <f t="shared" si="1"/>
        <v>46068</v>
      </c>
      <c r="BJ7" s="17">
        <f t="shared" si="1"/>
        <v>46069</v>
      </c>
      <c r="BK7" s="18">
        <f t="shared" si="1"/>
        <v>46070</v>
      </c>
      <c r="BL7" s="18">
        <f t="shared" si="1"/>
        <v>46071</v>
      </c>
      <c r="BM7" s="18">
        <f t="shared" si="1"/>
        <v>46072</v>
      </c>
      <c r="BN7" s="18">
        <f t="shared" si="1"/>
        <v>46073</v>
      </c>
      <c r="BO7" s="18">
        <f t="shared" si="1"/>
        <v>46074</v>
      </c>
      <c r="BP7" s="19">
        <f t="shared" si="1"/>
        <v>46075</v>
      </c>
    </row>
    <row r="8" ht="22.5" customHeight="1">
      <c r="A8" s="20" t="s">
        <v>14</v>
      </c>
      <c r="B8" s="20" t="s">
        <v>15</v>
      </c>
      <c r="C8" s="20" t="s">
        <v>16</v>
      </c>
      <c r="D8" s="21" t="s">
        <v>17</v>
      </c>
      <c r="E8" s="22" t="s">
        <v>18</v>
      </c>
      <c r="F8" s="22" t="s">
        <v>19</v>
      </c>
      <c r="G8" s="21" t="s">
        <v>20</v>
      </c>
      <c r="H8" s="22" t="s">
        <v>21</v>
      </c>
      <c r="I8" s="22" t="s">
        <v>22</v>
      </c>
      <c r="J8" s="21" t="s">
        <v>23</v>
      </c>
      <c r="K8" s="22" t="s">
        <v>24</v>
      </c>
      <c r="L8" s="23"/>
      <c r="M8" s="24" t="s">
        <v>25</v>
      </c>
      <c r="N8" s="24" t="s">
        <v>26</v>
      </c>
      <c r="O8" s="24" t="s">
        <v>27</v>
      </c>
      <c r="P8" s="24" t="s">
        <v>28</v>
      </c>
      <c r="Q8" s="24" t="s">
        <v>29</v>
      </c>
      <c r="R8" s="24" t="s">
        <v>26</v>
      </c>
      <c r="S8" s="24" t="s">
        <v>30</v>
      </c>
      <c r="T8" s="24" t="s">
        <v>25</v>
      </c>
      <c r="U8" s="24" t="s">
        <v>26</v>
      </c>
      <c r="V8" s="24" t="s">
        <v>27</v>
      </c>
      <c r="W8" s="24" t="s">
        <v>28</v>
      </c>
      <c r="X8" s="24" t="s">
        <v>29</v>
      </c>
      <c r="Y8" s="24" t="s">
        <v>26</v>
      </c>
      <c r="Z8" s="24" t="s">
        <v>30</v>
      </c>
      <c r="AA8" s="24" t="s">
        <v>25</v>
      </c>
      <c r="AB8" s="24" t="s">
        <v>26</v>
      </c>
      <c r="AC8" s="24" t="s">
        <v>27</v>
      </c>
      <c r="AD8" s="24" t="s">
        <v>28</v>
      </c>
      <c r="AE8" s="24" t="s">
        <v>29</v>
      </c>
      <c r="AF8" s="24" t="s">
        <v>26</v>
      </c>
      <c r="AG8" s="24" t="s">
        <v>30</v>
      </c>
      <c r="AH8" s="24" t="s">
        <v>25</v>
      </c>
      <c r="AI8" s="24" t="s">
        <v>26</v>
      </c>
      <c r="AJ8" s="24" t="s">
        <v>27</v>
      </c>
      <c r="AK8" s="24" t="s">
        <v>28</v>
      </c>
      <c r="AL8" s="24" t="s">
        <v>29</v>
      </c>
      <c r="AM8" s="24" t="s">
        <v>26</v>
      </c>
      <c r="AN8" s="24" t="s">
        <v>30</v>
      </c>
      <c r="AO8" s="24" t="s">
        <v>25</v>
      </c>
      <c r="AP8" s="24" t="s">
        <v>26</v>
      </c>
      <c r="AQ8" s="24" t="s">
        <v>27</v>
      </c>
      <c r="AR8" s="24" t="s">
        <v>28</v>
      </c>
      <c r="AS8" s="24" t="s">
        <v>29</v>
      </c>
      <c r="AT8" s="24" t="s">
        <v>26</v>
      </c>
      <c r="AU8" s="24" t="s">
        <v>30</v>
      </c>
      <c r="AV8" s="24" t="s">
        <v>25</v>
      </c>
      <c r="AW8" s="24" t="s">
        <v>26</v>
      </c>
      <c r="AX8" s="24" t="s">
        <v>27</v>
      </c>
      <c r="AY8" s="24" t="s">
        <v>28</v>
      </c>
      <c r="AZ8" s="24" t="s">
        <v>29</v>
      </c>
      <c r="BA8" s="24" t="s">
        <v>26</v>
      </c>
      <c r="BB8" s="24" t="s">
        <v>30</v>
      </c>
      <c r="BC8" s="24" t="s">
        <v>25</v>
      </c>
      <c r="BD8" s="24" t="s">
        <v>26</v>
      </c>
      <c r="BE8" s="24" t="s">
        <v>27</v>
      </c>
      <c r="BF8" s="24" t="s">
        <v>28</v>
      </c>
      <c r="BG8" s="24" t="s">
        <v>29</v>
      </c>
      <c r="BH8" s="24" t="s">
        <v>26</v>
      </c>
      <c r="BI8" s="24" t="s">
        <v>30</v>
      </c>
      <c r="BJ8" s="24" t="s">
        <v>25</v>
      </c>
      <c r="BK8" s="24" t="s">
        <v>26</v>
      </c>
      <c r="BL8" s="24" t="s">
        <v>27</v>
      </c>
      <c r="BM8" s="24" t="s">
        <v>28</v>
      </c>
      <c r="BN8" s="24" t="s">
        <v>29</v>
      </c>
      <c r="BO8" s="24" t="s">
        <v>26</v>
      </c>
      <c r="BP8" s="24" t="s">
        <v>30</v>
      </c>
    </row>
    <row r="9" ht="22.5" customHeight="1">
      <c r="A9" s="25" t="str">
        <f>IF(ISERROR(VALUE(SUBSTITUTE(OFFSET(A9,-1,0,1,1),".",""))),"1",IF(ISERROR(FIND("`",SUBSTITUTE(OFFSET(A9,-1,0,1,1),".","`",1))),TEXT(VALUE(OFFSET(A9,-1,0,1,1))+1,"#"),TEXT(VALUE(LEFT(OFFSET(A9,-1,0,1,1),FIND("`",SUBSTITUTE(OFFSET(A9,-1,0,1,1),".","`",1))-1))+1,"#")))</f>
        <v>1</v>
      </c>
      <c r="B9" s="26" t="s">
        <v>31</v>
      </c>
      <c r="C9" s="27" t="s">
        <v>32</v>
      </c>
      <c r="D9" s="28" t="str">
        <f t="shared" ref="D9:D42" si="2">IF(E9="","",TEXT(E9 , "ddd"))</f>
        <v>Thứ 5</v>
      </c>
      <c r="E9" s="29">
        <f>min(E10:E15)</f>
        <v>46023</v>
      </c>
      <c r="F9" s="29">
        <f>max(F10:F15)</f>
        <v>46036</v>
      </c>
      <c r="G9" s="28" t="str">
        <f t="shared" ref="G9:G42" si="3">IF(F9="","",TEXT(F9 , "ddd"))</f>
        <v>Thứ 4</v>
      </c>
      <c r="H9" s="30">
        <f>F9-E9+1</f>
        <v>14</v>
      </c>
      <c r="I9" s="31">
        <f t="shared" ref="I9:I10" si="4">K9/H9</f>
        <v>0.4285714286</v>
      </c>
      <c r="J9" s="30" t="str">
        <f>IFERROR(__xludf.DUMMYFUNCTION("INDEX(
  FILTER(Icon!$B$3:$B44, Icon!$B$3:$B44&lt;&gt;""""),
  MIN(
    ROUNDUP(I9*COUNTA(Icon!$B$3:$B44)+1, 0),
    COUNTA(Icon!$B$3:$B44)
  )
)
"),"")</f>
        <v/>
      </c>
      <c r="K9" s="30">
        <f>sum(K10:K15)</f>
        <v>6</v>
      </c>
      <c r="L9" s="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</row>
    <row r="10" ht="22.5" customHeight="1">
      <c r="A10" s="34" t="str">
        <f t="shared" ref="A10:A15" si="5">IF(ISERROR(VALUE(SUBSTITUTE(OFFSET(A10,-1,0,1,1),".",""))),"0.1",IF(ISERROR(FIND("`",SUBSTITUTE(OFFSET(A10,-1,0,1,1),".","`",1))),OFFSET(A10,-1,0,1,1)&amp;".1",LEFT(OFFSET(A10,-1,0,1,1),FIND("`",SUBSTITUTE(OFFSET(A10,-1,0,1,1),".","`",1)))&amp;IF(ISERROR(FIND("`",SUBSTITUTE(OFFSET(A10,-1,0,1,1),".","`",2))),VALUE(RIGHT(OFFSET(A10,-1,0,1,1),LEN(OFFSET(A10,-1,0,1,1))-FIND("`",SUBSTITUTE(OFFSET(A10,-1,0,1,1),".","`",1))))+1,VALUE(MID(OFFSET(A10,-1,0,1,1),FIND("`",SUBSTITUTE(OFFSET(A10,-1,0,1,1),".","`",1))+1,(FIND("`",SUBSTITUTE(OFFSET(A10,-1,0,1,1),".","`",2))-FIND("`",SUBSTITUTE(OFFSET(A10,-1,0,1,1),".","`",1))-1)))+1)))</f>
        <v>1.1</v>
      </c>
      <c r="B10" s="35" t="s">
        <v>33</v>
      </c>
      <c r="C10" s="36" t="s">
        <v>32</v>
      </c>
      <c r="D10" s="37" t="str">
        <f t="shared" si="2"/>
        <v>Thứ 5</v>
      </c>
      <c r="E10" s="37">
        <f>$E$5</f>
        <v>46023</v>
      </c>
      <c r="F10" s="38">
        <f t="shared" ref="F10:F15" si="6">IF(E10="",,E10+H10-1)</f>
        <v>46025</v>
      </c>
      <c r="G10" s="38" t="str">
        <f t="shared" si="3"/>
        <v>Thứ 7</v>
      </c>
      <c r="H10" s="39">
        <v>3.0</v>
      </c>
      <c r="I10" s="40">
        <f t="shared" si="4"/>
        <v>1</v>
      </c>
      <c r="J10" s="30" t="str">
        <f>IFERROR(__xludf.DUMMYFUNCTION("INDEX(
  FILTER(Icon!$B$3:$B44, Icon!$B$3:$B44&lt;&gt;""""),
  MIN(
    ROUNDUP(I10*COUNTA(Icon!$B$3:$B44)+1, 0),
    COUNTA(Icon!$B$3:$B44)
  )
)
"),"")</f>
        <v/>
      </c>
      <c r="K10" s="41">
        <v>3.0</v>
      </c>
      <c r="L10" s="42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</row>
    <row r="11" ht="22.5" customHeight="1">
      <c r="A11" s="34" t="str">
        <f t="shared" si="5"/>
        <v>1.2</v>
      </c>
      <c r="B11" s="35" t="s">
        <v>34</v>
      </c>
      <c r="C11" s="36" t="s">
        <v>32</v>
      </c>
      <c r="D11" s="37" t="str">
        <f t="shared" si="2"/>
        <v>Thứ 7</v>
      </c>
      <c r="E11" s="44">
        <v>46025.0</v>
      </c>
      <c r="F11" s="38">
        <f t="shared" si="6"/>
        <v>46029</v>
      </c>
      <c r="G11" s="38" t="str">
        <f t="shared" si="3"/>
        <v>Thứ 4</v>
      </c>
      <c r="H11" s="39">
        <v>5.0</v>
      </c>
      <c r="I11" s="40">
        <f>K11/H12</f>
        <v>0.2857142857</v>
      </c>
      <c r="J11" s="30" t="str">
        <f>IFERROR(__xludf.DUMMYFUNCTION("INDEX(
  FILTER(Icon!$B$3:$B44, Icon!$B$3:$B44&lt;&gt;""""),
  MIN(
    ROUNDUP(I11*COUNTA(Icon!$B$3:$B44)+1, 0),
    COUNTA(Icon!$B$3:$B44)
  )
)
"),"")</f>
        <v/>
      </c>
      <c r="K11" s="41">
        <v>2.0</v>
      </c>
      <c r="L11" s="42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</row>
    <row r="12" ht="22.5" customHeight="1">
      <c r="A12" s="34" t="str">
        <f t="shared" si="5"/>
        <v>1.3</v>
      </c>
      <c r="B12" s="35" t="s">
        <v>35</v>
      </c>
      <c r="C12" s="36" t="s">
        <v>32</v>
      </c>
      <c r="D12" s="37" t="str">
        <f t="shared" si="2"/>
        <v>Thứ 5</v>
      </c>
      <c r="E12" s="44">
        <v>46030.0</v>
      </c>
      <c r="F12" s="38">
        <f t="shared" si="6"/>
        <v>46036</v>
      </c>
      <c r="G12" s="38" t="str">
        <f t="shared" si="3"/>
        <v>Thứ 4</v>
      </c>
      <c r="H12" s="39">
        <v>7.0</v>
      </c>
      <c r="I12" s="40">
        <f t="shared" ref="I12:I14" si="7">K12/H12</f>
        <v>0.1428571429</v>
      </c>
      <c r="J12" s="30" t="str">
        <f>IFERROR(__xludf.DUMMYFUNCTION("INDEX(
  FILTER(Icon!$B$3:$B44, Icon!$B$3:$B44&lt;&gt;""""),
  MIN(
    ROUNDUP(I12*COUNTA(Icon!$B$3:$B44)+1, 0),
    COUNTA(Icon!$B$3:$B44)
  )
)
"),"")</f>
        <v/>
      </c>
      <c r="K12" s="41">
        <v>1.0</v>
      </c>
      <c r="L12" s="42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5" t="s">
        <v>36</v>
      </c>
    </row>
    <row r="13" ht="22.5" hidden="1" customHeight="1">
      <c r="A13" s="34" t="str">
        <f t="shared" si="5"/>
        <v>1.4</v>
      </c>
      <c r="C13" s="36" t="s">
        <v>32</v>
      </c>
      <c r="D13" s="37" t="str">
        <f t="shared" si="2"/>
        <v/>
      </c>
      <c r="E13" s="37"/>
      <c r="F13" s="38" t="str">
        <f t="shared" si="6"/>
        <v/>
      </c>
      <c r="G13" s="38" t="str">
        <f t="shared" si="3"/>
        <v/>
      </c>
      <c r="H13" s="39">
        <v>4.0</v>
      </c>
      <c r="I13" s="40">
        <f t="shared" si="7"/>
        <v>0</v>
      </c>
      <c r="J13" s="30" t="str">
        <f>IFERROR(__xludf.DUMMYFUNCTION("INDEX(
  FILTER(Icon!$B$3:$B44, Icon!$B$3:$B44&lt;&gt;""""),
  MIN(
    ROUNDUP(I13*COUNTA(Icon!$B$3:$B44)+1, 0),
    COUNTA(Icon!$B$3:$B44)
  )
)
"),"")</f>
        <v/>
      </c>
      <c r="K13" s="46"/>
      <c r="L13" s="42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</row>
    <row r="14" ht="22.5" hidden="1" customHeight="1">
      <c r="A14" s="34" t="str">
        <f t="shared" si="5"/>
        <v>1.5</v>
      </c>
      <c r="B14" s="47"/>
      <c r="C14" s="36" t="s">
        <v>32</v>
      </c>
      <c r="D14" s="37" t="str">
        <f t="shared" si="2"/>
        <v/>
      </c>
      <c r="E14" s="37"/>
      <c r="F14" s="38" t="str">
        <f t="shared" si="6"/>
        <v/>
      </c>
      <c r="G14" s="38" t="str">
        <f t="shared" si="3"/>
        <v/>
      </c>
      <c r="H14" s="39">
        <v>4.0</v>
      </c>
      <c r="I14" s="40">
        <f t="shared" si="7"/>
        <v>0</v>
      </c>
      <c r="J14" s="30" t="str">
        <f>IFERROR(__xludf.DUMMYFUNCTION("INDEX(
  FILTER(Icon!$B$3:$B44, Icon!$B$3:$B44&lt;&gt;""""),
  MIN(
    ROUNDUP(I14*COUNTA(Icon!$B$3:$B44)+1, 0),
    COUNTA(Icon!$B$3:$B44)
  )
)
"),"")</f>
        <v/>
      </c>
      <c r="K14" s="46"/>
      <c r="L14" s="42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</row>
    <row r="15" ht="22.5" hidden="1" customHeight="1">
      <c r="A15" s="34" t="str">
        <f t="shared" si="5"/>
        <v>1.6</v>
      </c>
      <c r="B15" s="47"/>
      <c r="C15" s="48"/>
      <c r="D15" s="37" t="str">
        <f t="shared" si="2"/>
        <v/>
      </c>
      <c r="E15" s="37"/>
      <c r="F15" s="38" t="str">
        <f t="shared" si="6"/>
        <v/>
      </c>
      <c r="G15" s="38" t="str">
        <f t="shared" si="3"/>
        <v/>
      </c>
      <c r="H15" s="39"/>
      <c r="I15" s="40"/>
      <c r="J15" s="39" t="str">
        <f>IFERROR(__xludf.DUMMYFUNCTION("INDEX(
  FILTER(Icon!$B$3:$B44, Icon!$B$3:$B44&lt;&gt;""""),
  MIN(
    ROUNDUP(I15*COUNTA(Icon!$B$3:$B44)+1, 0),
    COUNTA(Icon!$B$3:$B44)
  )
)
"),"")</f>
        <v/>
      </c>
      <c r="K15" s="46"/>
      <c r="L15" s="42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</row>
    <row r="16" ht="22.5" customHeight="1">
      <c r="A16" s="49" t="str">
        <f>IF(ISERROR(VALUE(SUBSTITUTE(OFFSET(A16,-1,0,1,1),".",""))),"1",IF(ISERROR(FIND("`",SUBSTITUTE(OFFSET(A16,-1,0,1,1),".","`",1))),TEXT(VALUE(OFFSET(A16,-1,0,1,1))+1,"#"),TEXT(VALUE(LEFT(OFFSET(A16,-1,0,1,1),FIND("`",SUBSTITUTE(OFFSET(A16,-1,0,1,1),".","`",1))-1))+1,"#")))</f>
        <v>2</v>
      </c>
      <c r="B16" s="50" t="s">
        <v>37</v>
      </c>
      <c r="C16" s="51"/>
      <c r="D16" s="52" t="str">
        <f t="shared" si="2"/>
        <v>Thứ 7</v>
      </c>
      <c r="E16" s="52">
        <f>min(E17:E22)</f>
        <v>46025</v>
      </c>
      <c r="F16" s="52">
        <f>max(F17:F22)</f>
        <v>46040</v>
      </c>
      <c r="G16" s="52" t="str">
        <f t="shared" si="3"/>
        <v>CN</v>
      </c>
      <c r="H16" s="53">
        <f>F16-E16+1</f>
        <v>16</v>
      </c>
      <c r="I16" s="54">
        <f t="shared" ref="I16:I21" si="8">K16/H16</f>
        <v>0.25</v>
      </c>
      <c r="J16" s="53" t="str">
        <f>IFERROR(__xludf.DUMMYFUNCTION("INDEX(
  FILTER(Icon!$B$3:$B44, Icon!$B$3:$B44&lt;&gt;""""),
  MIN(
    ROUNDUP(I16*COUNTA(Icon!$B$3:$B44)+1, 0),
    COUNTA(Icon!$B$3:$B44)
  )
)
"),"")</f>
        <v/>
      </c>
      <c r="K16" s="53">
        <f>sum(H17*I17,H18*I18, H19*I19, H20*I20)</f>
        <v>4</v>
      </c>
      <c r="L16" s="55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</row>
    <row r="17" ht="22.5" customHeight="1">
      <c r="A17" s="34" t="str">
        <f t="shared" ref="A17:A22" si="9">IF(ISERROR(VALUE(SUBSTITUTE(OFFSET(A17,-1,0,1,1),".",""))),"0.1",IF(ISERROR(FIND("`",SUBSTITUTE(OFFSET(A17,-1,0,1,1),".","`",1))),OFFSET(A17,-1,0,1,1)&amp;".1",LEFT(OFFSET(A17,-1,0,1,1),FIND("`",SUBSTITUTE(OFFSET(A17,-1,0,1,1),".","`",1)))&amp;IF(ISERROR(FIND("`",SUBSTITUTE(OFFSET(A17,-1,0,1,1),".","`",2))),VALUE(RIGHT(OFFSET(A17,-1,0,1,1),LEN(OFFSET(A17,-1,0,1,1))-FIND("`",SUBSTITUTE(OFFSET(A17,-1,0,1,1),".","`",1))))+1,VALUE(MID(OFFSET(A17,-1,0,1,1),FIND("`",SUBSTITUTE(OFFSET(A17,-1,0,1,1),".","`",1))+1,(FIND("`",SUBSTITUTE(OFFSET(A17,-1,0,1,1),".","`",2))-FIND("`",SUBSTITUTE(OFFSET(A17,-1,0,1,1),".","`",1))-1)))+1)))</f>
        <v>2.1</v>
      </c>
      <c r="B17" s="35" t="s">
        <v>38</v>
      </c>
      <c r="C17" s="48"/>
      <c r="D17" s="37" t="str">
        <f t="shared" si="2"/>
        <v>Thứ 7</v>
      </c>
      <c r="E17" s="44">
        <v>46025.0</v>
      </c>
      <c r="F17" s="38">
        <f t="shared" ref="F17:F22" si="10">IF(E17="",,E17+H17-1)</f>
        <v>46026</v>
      </c>
      <c r="G17" s="38" t="str">
        <f t="shared" si="3"/>
        <v>CN</v>
      </c>
      <c r="H17" s="39">
        <v>2.0</v>
      </c>
      <c r="I17" s="40">
        <f t="shared" si="8"/>
        <v>1</v>
      </c>
      <c r="J17" s="39" t="str">
        <f>IFERROR(__xludf.DUMMYFUNCTION("INDEX(
  FILTER(Icon!$B$3:$B44, Icon!$B$3:$B44&lt;&gt;""""),
  MIN(
    ROUNDUP(I17*COUNTA(Icon!$B$3:$B44)+1, 0),
    COUNTA(Icon!$B$3:$B44)
  )
)
"),"")</f>
        <v/>
      </c>
      <c r="K17" s="41">
        <v>2.0</v>
      </c>
      <c r="L17" s="42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</row>
    <row r="18" ht="22.5" customHeight="1">
      <c r="A18" s="34" t="str">
        <f t="shared" si="9"/>
        <v>2.2</v>
      </c>
      <c r="B18" s="47" t="s">
        <v>39</v>
      </c>
      <c r="C18" s="48"/>
      <c r="D18" s="37" t="str">
        <f t="shared" si="2"/>
        <v>Thứ 2</v>
      </c>
      <c r="E18" s="44">
        <v>46027.0</v>
      </c>
      <c r="F18" s="38">
        <f t="shared" si="10"/>
        <v>46032</v>
      </c>
      <c r="G18" s="38" t="str">
        <f t="shared" si="3"/>
        <v>Thứ 7</v>
      </c>
      <c r="H18" s="39">
        <v>6.0</v>
      </c>
      <c r="I18" s="40">
        <f t="shared" si="8"/>
        <v>0.1666666667</v>
      </c>
      <c r="J18" s="39" t="str">
        <f>IFERROR(__xludf.DUMMYFUNCTION("INDEX(
  FILTER(Icon!$B$3:$B44, Icon!$B$3:$B44&lt;&gt;""""),
  MIN(
    ROUNDUP(I18*COUNTA(Icon!$B$3:$B44)+1, 0),
    COUNTA(Icon!$B$3:$B44)
  )
)
"),"")</f>
        <v/>
      </c>
      <c r="K18" s="41">
        <v>1.0</v>
      </c>
      <c r="L18" s="42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</row>
    <row r="19" ht="22.5" customHeight="1">
      <c r="A19" s="34" t="str">
        <f t="shared" si="9"/>
        <v>2.3</v>
      </c>
      <c r="B19" s="47" t="s">
        <v>40</v>
      </c>
      <c r="C19" s="48"/>
      <c r="D19" s="37" t="str">
        <f t="shared" si="2"/>
        <v>CN</v>
      </c>
      <c r="E19" s="44">
        <v>46033.0</v>
      </c>
      <c r="F19" s="38">
        <f t="shared" si="10"/>
        <v>46039</v>
      </c>
      <c r="G19" s="38" t="str">
        <f t="shared" si="3"/>
        <v>Thứ 7</v>
      </c>
      <c r="H19" s="39">
        <v>7.0</v>
      </c>
      <c r="I19" s="40">
        <f t="shared" si="8"/>
        <v>0.1428571429</v>
      </c>
      <c r="J19" s="39" t="str">
        <f>IFERROR(__xludf.DUMMYFUNCTION("INDEX(
  FILTER(Icon!$B$3:$B44, Icon!$B$3:$B44&lt;&gt;""""),
  MIN(
    ROUNDUP(I19*COUNTA(Icon!$B$3:$B44)+1, 0),
    COUNTA(Icon!$B$3:$B44)
  )
)
"),"")</f>
        <v/>
      </c>
      <c r="K19" s="41">
        <v>1.0</v>
      </c>
      <c r="L19" s="42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</row>
    <row r="20" ht="22.5" customHeight="1">
      <c r="A20" s="34" t="str">
        <f t="shared" si="9"/>
        <v>2.4</v>
      </c>
      <c r="B20" s="47" t="s">
        <v>41</v>
      </c>
      <c r="C20" s="48"/>
      <c r="D20" s="37" t="str">
        <f t="shared" si="2"/>
        <v>Thứ 5</v>
      </c>
      <c r="E20" s="44">
        <v>46037.0</v>
      </c>
      <c r="F20" s="38">
        <f t="shared" si="10"/>
        <v>46040</v>
      </c>
      <c r="G20" s="38" t="str">
        <f t="shared" si="3"/>
        <v>CN</v>
      </c>
      <c r="H20" s="39">
        <v>4.0</v>
      </c>
      <c r="I20" s="40">
        <f t="shared" si="8"/>
        <v>0</v>
      </c>
      <c r="J20" s="39" t="str">
        <f>IFERROR(__xludf.DUMMYFUNCTION("INDEX(
  FILTER(Icon!$B$3:$B44, Icon!$B$3:$B44&lt;&gt;""""),
  MIN(
    ROUNDUP(I20*COUNTA(Icon!$B$3:$B44)+1, 0),
    COUNTA(Icon!$B$3:$B44)
  )
)
"),"")</f>
        <v/>
      </c>
      <c r="K20" s="46"/>
      <c r="L20" s="42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</row>
    <row r="21" ht="22.5" hidden="1" customHeight="1">
      <c r="A21" s="34" t="str">
        <f t="shared" si="9"/>
        <v>2.5</v>
      </c>
      <c r="B21" s="47"/>
      <c r="C21" s="48"/>
      <c r="D21" s="37" t="str">
        <f t="shared" si="2"/>
        <v/>
      </c>
      <c r="E21" s="37"/>
      <c r="F21" s="38" t="str">
        <f t="shared" si="10"/>
        <v/>
      </c>
      <c r="G21" s="38" t="str">
        <f t="shared" si="3"/>
        <v/>
      </c>
      <c r="H21" s="39">
        <v>1.0</v>
      </c>
      <c r="I21" s="40">
        <f t="shared" si="8"/>
        <v>0</v>
      </c>
      <c r="J21" s="39" t="str">
        <f>IFERROR(__xludf.DUMMYFUNCTION("INDEX(
  FILTER(Icon!$B$3:$B44, Icon!$B$3:$B44&lt;&gt;""""),
  MIN(
    ROUNDUP(I21*COUNTA(Icon!$B$3:$B44)+1, 0),
    COUNTA(Icon!$B$3:$B44)
  )
)
"),"")</f>
        <v/>
      </c>
      <c r="K21" s="46"/>
      <c r="L21" s="42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</row>
    <row r="22" ht="22.5" hidden="1" customHeight="1">
      <c r="A22" s="34" t="str">
        <f t="shared" si="9"/>
        <v>2.6</v>
      </c>
      <c r="B22" s="47"/>
      <c r="C22" s="48"/>
      <c r="D22" s="37" t="str">
        <f t="shared" si="2"/>
        <v/>
      </c>
      <c r="E22" s="37"/>
      <c r="F22" s="38" t="str">
        <f t="shared" si="10"/>
        <v/>
      </c>
      <c r="G22" s="38" t="str">
        <f t="shared" si="3"/>
        <v/>
      </c>
      <c r="H22" s="46"/>
      <c r="I22" s="57"/>
      <c r="J22" s="46" t="str">
        <f>IFERROR(__xludf.DUMMYFUNCTION("INDEX(
  FILTER(Icon!$B$3:$B44, Icon!$B$3:$B44&lt;&gt;""""),
  MIN(
    ROUNDUP(I22*COUNTA(Icon!$B$3:$B44)+1, 0),
    COUNTA(Icon!$B$3:$B44)
  )
)
"),"")</f>
        <v/>
      </c>
      <c r="K22" s="46"/>
      <c r="L22" s="42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</row>
    <row r="23" ht="22.5" customHeight="1">
      <c r="A23" s="58" t="str">
        <f>IF(ISERROR(VALUE(SUBSTITUTE(OFFSET(A23,-1,0,1,1),".",""))),"1",IF(ISERROR(FIND("`",SUBSTITUTE(OFFSET(A23,-1,0,1,1),".","`",1))),TEXT(VALUE(OFFSET(A23,-1,0,1,1))+1,"#"),TEXT(VALUE(LEFT(OFFSET(A23,-1,0,1,1),FIND("`",SUBSTITUTE(OFFSET(A23,-1,0,1,1),".","`",1))-1))+1,"#")))</f>
        <v>3</v>
      </c>
      <c r="B23" s="59" t="s">
        <v>42</v>
      </c>
      <c r="C23" s="60"/>
      <c r="D23" s="61" t="str">
        <f t="shared" si="2"/>
        <v>Thứ 3</v>
      </c>
      <c r="E23" s="61">
        <f>min(E24:E29)</f>
        <v>46042</v>
      </c>
      <c r="F23" s="61">
        <f>max(F24:F29)</f>
        <v>46058</v>
      </c>
      <c r="G23" s="61" t="str">
        <f t="shared" si="3"/>
        <v>Thứ 5</v>
      </c>
      <c r="H23" s="62">
        <f>F23-E23+1</f>
        <v>17</v>
      </c>
      <c r="I23" s="63">
        <f t="shared" ref="I23:I28" si="11">K23/H23</f>
        <v>0.1176470588</v>
      </c>
      <c r="J23" s="62" t="str">
        <f>IFERROR(__xludf.DUMMYFUNCTION("INDEX(
  FILTER(Icon!$B$3:$B44, Icon!$B$3:$B44&lt;&gt;""""),
  MIN(
    ROUNDUP(I23*COUNTA(Icon!$B$3:$B44)+1, 0),
    COUNTA(Icon!$B$3:$B44)
  )
)
"),"")</f>
        <v/>
      </c>
      <c r="K23" s="62">
        <f>sum(K24:K27)</f>
        <v>2</v>
      </c>
      <c r="L23" s="64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</row>
    <row r="24" ht="22.5" customHeight="1">
      <c r="A24" s="34" t="str">
        <f t="shared" ref="A24:A29" si="12">IF(ISERROR(VALUE(SUBSTITUTE(OFFSET(A24,-1,0,1,1),".",""))),"0.1",IF(ISERROR(FIND("`",SUBSTITUTE(OFFSET(A24,-1,0,1,1),".","`",1))),OFFSET(A24,-1,0,1,1)&amp;".1",LEFT(OFFSET(A24,-1,0,1,1),FIND("`",SUBSTITUTE(OFFSET(A24,-1,0,1,1),".","`",1)))&amp;IF(ISERROR(FIND("`",SUBSTITUTE(OFFSET(A24,-1,0,1,1),".","`",2))),VALUE(RIGHT(OFFSET(A24,-1,0,1,1),LEN(OFFSET(A24,-1,0,1,1))-FIND("`",SUBSTITUTE(OFFSET(A24,-1,0,1,1),".","`",1))))+1,VALUE(MID(OFFSET(A24,-1,0,1,1),FIND("`",SUBSTITUTE(OFFSET(A24,-1,0,1,1),".","`",1))+1,(FIND("`",SUBSTITUTE(OFFSET(A24,-1,0,1,1),".","`",2))-FIND("`",SUBSTITUTE(OFFSET(A24,-1,0,1,1),".","`",1))-1)))+1)))</f>
        <v>3.1</v>
      </c>
      <c r="B24" s="35" t="s">
        <v>43</v>
      </c>
      <c r="C24" s="66"/>
      <c r="D24" s="37" t="str">
        <f t="shared" si="2"/>
        <v>Thứ 3</v>
      </c>
      <c r="E24" s="44">
        <v>46042.0</v>
      </c>
      <c r="F24" s="38">
        <f t="shared" ref="F24:F29" si="13">IF(E24="",,E24+H24-1)</f>
        <v>46046</v>
      </c>
      <c r="G24" s="38" t="str">
        <f t="shared" si="3"/>
        <v>Thứ 7</v>
      </c>
      <c r="H24" s="39">
        <v>5.0</v>
      </c>
      <c r="I24" s="40">
        <f t="shared" si="11"/>
        <v>0.4</v>
      </c>
      <c r="J24" s="39" t="str">
        <f>IFERROR(__xludf.DUMMYFUNCTION("INDEX(
  FILTER(Icon!$B$3:$B44, Icon!$B$3:$B44&lt;&gt;""""),
  MIN(
    ROUNDUP(I24*COUNTA(Icon!$B$3:$B44)+1, 0),
    COUNTA(Icon!$B$3:$B44)
  )
)
"),"")</f>
        <v/>
      </c>
      <c r="K24" s="41">
        <v>2.0</v>
      </c>
      <c r="L24" s="42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</row>
    <row r="25" ht="22.5" customHeight="1">
      <c r="A25" s="34" t="str">
        <f t="shared" si="12"/>
        <v>3.2</v>
      </c>
      <c r="B25" s="47" t="s">
        <v>44</v>
      </c>
      <c r="C25" s="66"/>
      <c r="D25" s="37" t="str">
        <f t="shared" si="2"/>
        <v>CN</v>
      </c>
      <c r="E25" s="44">
        <v>46047.0</v>
      </c>
      <c r="F25" s="38">
        <f t="shared" si="13"/>
        <v>46051</v>
      </c>
      <c r="G25" s="38" t="str">
        <f t="shared" si="3"/>
        <v>Thứ 5</v>
      </c>
      <c r="H25" s="39">
        <v>5.0</v>
      </c>
      <c r="I25" s="40">
        <f t="shared" si="11"/>
        <v>0</v>
      </c>
      <c r="J25" s="39" t="str">
        <f>IFERROR(__xludf.DUMMYFUNCTION("INDEX(
  FILTER(Icon!$B$3:$B44, Icon!$B$3:$B44&lt;&gt;""""),
  MIN(
    ROUNDUP(I25*COUNTA(Icon!$B$3:$B44)+1, 0),
    COUNTA(Icon!$B$3:$B44)
  )
)
"),"")</f>
        <v/>
      </c>
      <c r="K25" s="46"/>
      <c r="L25" s="42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</row>
    <row r="26" ht="22.5" customHeight="1">
      <c r="A26" s="34" t="str">
        <f t="shared" si="12"/>
        <v>3.3</v>
      </c>
      <c r="B26" s="47" t="s">
        <v>45</v>
      </c>
      <c r="C26" s="66"/>
      <c r="D26" s="37" t="str">
        <f t="shared" si="2"/>
        <v>Thứ 3</v>
      </c>
      <c r="E26" s="44">
        <v>46049.0</v>
      </c>
      <c r="F26" s="38">
        <f t="shared" si="13"/>
        <v>46053</v>
      </c>
      <c r="G26" s="38" t="str">
        <f t="shared" si="3"/>
        <v>Thứ 7</v>
      </c>
      <c r="H26" s="39">
        <v>5.0</v>
      </c>
      <c r="I26" s="40">
        <f t="shared" si="11"/>
        <v>0</v>
      </c>
      <c r="J26" s="39" t="str">
        <f>IFERROR(__xludf.DUMMYFUNCTION("INDEX(
  FILTER(Icon!$B$3:$B44, Icon!$B$3:$B44&lt;&gt;""""),
  MIN(
    ROUNDUP(I26*COUNTA(Icon!$B$3:$B44)+1, 0),
    COUNTA(Icon!$B$3:$B44)
  )
)
"),"")</f>
        <v/>
      </c>
      <c r="K26" s="46"/>
      <c r="L26" s="42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</row>
    <row r="27" ht="22.5" customHeight="1">
      <c r="A27" s="34" t="str">
        <f t="shared" si="12"/>
        <v>3.4</v>
      </c>
      <c r="B27" s="47" t="s">
        <v>46</v>
      </c>
      <c r="C27" s="66"/>
      <c r="D27" s="37" t="str">
        <f t="shared" si="2"/>
        <v>CN</v>
      </c>
      <c r="E27" s="44">
        <v>46054.0</v>
      </c>
      <c r="F27" s="38">
        <f t="shared" si="13"/>
        <v>46058</v>
      </c>
      <c r="G27" s="38" t="str">
        <f t="shared" si="3"/>
        <v>Thứ 5</v>
      </c>
      <c r="H27" s="39">
        <v>5.0</v>
      </c>
      <c r="I27" s="40">
        <f t="shared" si="11"/>
        <v>0</v>
      </c>
      <c r="J27" s="39" t="str">
        <f>IFERROR(__xludf.DUMMYFUNCTION("INDEX(
  FILTER(Icon!$B$3:$B44, Icon!$B$3:$B44&lt;&gt;""""),
  MIN(
    ROUNDUP(I27*COUNTA(Icon!$B$3:$B44)+1, 0),
    COUNTA(Icon!$B$3:$B44)
  )
)
"),"")</f>
        <v/>
      </c>
      <c r="K27" s="46"/>
      <c r="L27" s="42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</row>
    <row r="28" ht="22.5" hidden="1" customHeight="1">
      <c r="A28" s="34" t="str">
        <f t="shared" si="12"/>
        <v>3.5</v>
      </c>
      <c r="B28" s="47"/>
      <c r="C28" s="48"/>
      <c r="D28" s="37" t="str">
        <f t="shared" si="2"/>
        <v/>
      </c>
      <c r="E28" s="37"/>
      <c r="F28" s="38" t="str">
        <f t="shared" si="13"/>
        <v/>
      </c>
      <c r="G28" s="38" t="str">
        <f t="shared" si="3"/>
        <v/>
      </c>
      <c r="H28" s="39">
        <v>1.0</v>
      </c>
      <c r="I28" s="40">
        <f t="shared" si="11"/>
        <v>0</v>
      </c>
      <c r="J28" s="39" t="str">
        <f>IFERROR(__xludf.DUMMYFUNCTION("INDEX(
  FILTER(Icon!$B$3:$B44, Icon!$B$3:$B44&lt;&gt;""""),
  MIN(
    ROUNDUP(I28*COUNTA(Icon!$B$3:$B44)+1, 0),
    COUNTA(Icon!$B$3:$B44)
  )
)
"),"")</f>
        <v/>
      </c>
      <c r="K28" s="46"/>
      <c r="L28" s="42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</row>
    <row r="29" ht="22.5" hidden="1" customHeight="1">
      <c r="A29" s="34" t="str">
        <f t="shared" si="12"/>
        <v>3.6</v>
      </c>
      <c r="B29" s="47"/>
      <c r="C29" s="48"/>
      <c r="D29" s="37" t="str">
        <f t="shared" si="2"/>
        <v/>
      </c>
      <c r="E29" s="37"/>
      <c r="F29" s="38" t="str">
        <f t="shared" si="13"/>
        <v/>
      </c>
      <c r="G29" s="38" t="str">
        <f t="shared" si="3"/>
        <v/>
      </c>
      <c r="H29" s="46"/>
      <c r="I29" s="57"/>
      <c r="J29" s="46" t="str">
        <f>IFERROR(__xludf.DUMMYFUNCTION("INDEX(
  FILTER(Icon!$B$3:$B44, Icon!$B$3:$B44&lt;&gt;""""),
  MIN(
    ROUNDUP(I29*COUNTA(Icon!$B$3:$B44)+1, 0),
    COUNTA(Icon!$B$3:$B44)
  )
)
"),"")</f>
        <v/>
      </c>
      <c r="K29" s="46"/>
      <c r="L29" s="42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</row>
    <row r="30" ht="22.5" customHeight="1">
      <c r="A30" s="67" t="str">
        <f>IF(ISERROR(VALUE(SUBSTITUTE(OFFSET(A30,-1,0,1,1),".",""))),"1",IF(ISERROR(FIND("`",SUBSTITUTE(OFFSET(A30,-1,0,1,1),".","`",1))),TEXT(VALUE(OFFSET(A30,-1,0,1,1))+1,"#"),TEXT(VALUE(LEFT(OFFSET(A30,-1,0,1,1),FIND("`",SUBSTITUTE(OFFSET(A30,-1,0,1,1),".","`",1))-1))+1,"#")))</f>
        <v>4</v>
      </c>
      <c r="B30" s="68" t="s">
        <v>47</v>
      </c>
      <c r="C30" s="69"/>
      <c r="D30" s="70" t="str">
        <f t="shared" si="2"/>
        <v>Thứ 7</v>
      </c>
      <c r="E30" s="70">
        <f>min(E31:E36)</f>
        <v>46060</v>
      </c>
      <c r="F30" s="70">
        <f>max(F31:F36)</f>
        <v>46073</v>
      </c>
      <c r="G30" s="70" t="str">
        <f t="shared" si="3"/>
        <v>Thứ 6</v>
      </c>
      <c r="H30" s="71">
        <f>F30-E30+1</f>
        <v>14</v>
      </c>
      <c r="I30" s="72">
        <f t="shared" ref="I30:I35" si="14">K30/H30</f>
        <v>0</v>
      </c>
      <c r="J30" s="71" t="str">
        <f>IFERROR(__xludf.DUMMYFUNCTION("INDEX(
  FILTER(Icon!$B$3:$B44, Icon!$B$3:$B44&lt;&gt;""""),
  MIN(
    ROUNDUP(I30*COUNTA(Icon!$B$3:$B44)+1, 0),
    COUNTA(Icon!$B$3:$B44)
  )
)
"),"")</f>
        <v/>
      </c>
      <c r="K30" s="71">
        <f>sum(K31:K33)</f>
        <v>0</v>
      </c>
      <c r="L30" s="73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</row>
    <row r="31" ht="22.5" customHeight="1">
      <c r="A31" s="34" t="str">
        <f t="shared" ref="A31:A36" si="15">IF(ISERROR(VALUE(SUBSTITUTE(OFFSET(A31,-1,0,1,1),".",""))),"0.1",IF(ISERROR(FIND("`",SUBSTITUTE(OFFSET(A31,-1,0,1,1),".","`",1))),OFFSET(A31,-1,0,1,1)&amp;".1",LEFT(OFFSET(A31,-1,0,1,1),FIND("`",SUBSTITUTE(OFFSET(A31,-1,0,1,1),".","`",1)))&amp;IF(ISERROR(FIND("`",SUBSTITUTE(OFFSET(A31,-1,0,1,1),".","`",2))),VALUE(RIGHT(OFFSET(A31,-1,0,1,1),LEN(OFFSET(A31,-1,0,1,1))-FIND("`",SUBSTITUTE(OFFSET(A31,-1,0,1,1),".","`",1))))+1,VALUE(MID(OFFSET(A31,-1,0,1,1),FIND("`",SUBSTITUTE(OFFSET(A31,-1,0,1,1),".","`",1))+1,(FIND("`",SUBSTITUTE(OFFSET(A31,-1,0,1,1),".","`",2))-FIND("`",SUBSTITUTE(OFFSET(A31,-1,0,1,1),".","`",1))-1)))+1)))</f>
        <v>4.1</v>
      </c>
      <c r="B31" s="47" t="s">
        <v>48</v>
      </c>
      <c r="C31" s="66"/>
      <c r="D31" s="37" t="str">
        <f t="shared" si="2"/>
        <v>Thứ 7</v>
      </c>
      <c r="E31" s="44">
        <v>46060.0</v>
      </c>
      <c r="F31" s="38">
        <f t="shared" ref="F31:F36" si="16">IF(E31="",,E31+H31-1)</f>
        <v>46064</v>
      </c>
      <c r="G31" s="38" t="str">
        <f t="shared" si="3"/>
        <v>Thứ 4</v>
      </c>
      <c r="H31" s="39">
        <v>5.0</v>
      </c>
      <c r="I31" s="40">
        <f t="shared" si="14"/>
        <v>0</v>
      </c>
      <c r="J31" s="39" t="str">
        <f>IFERROR(__xludf.DUMMYFUNCTION("INDEX(
  FILTER(Icon!$B$3:$B44, Icon!$B$3:$B44&lt;&gt;""""),
  MIN(
    ROUNDUP(I31*COUNTA(Icon!$B$3:$B44)+1, 0),
    COUNTA(Icon!$B$3:$B44)
  )
)
"),"")</f>
        <v/>
      </c>
      <c r="K31" s="46"/>
      <c r="L31" s="42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</row>
    <row r="32" ht="22.5" customHeight="1">
      <c r="A32" s="34" t="str">
        <f t="shared" si="15"/>
        <v>4.2</v>
      </c>
      <c r="B32" s="47" t="s">
        <v>49</v>
      </c>
      <c r="C32" s="66"/>
      <c r="D32" s="37" t="str">
        <f t="shared" si="2"/>
        <v>Thứ 5</v>
      </c>
      <c r="E32" s="44">
        <v>46065.0</v>
      </c>
      <c r="F32" s="38">
        <f t="shared" si="16"/>
        <v>46071</v>
      </c>
      <c r="G32" s="38" t="str">
        <f t="shared" si="3"/>
        <v>Thứ 4</v>
      </c>
      <c r="H32" s="39">
        <v>7.0</v>
      </c>
      <c r="I32" s="40">
        <f t="shared" si="14"/>
        <v>0</v>
      </c>
      <c r="J32" s="39" t="str">
        <f>IFERROR(__xludf.DUMMYFUNCTION("INDEX(
  FILTER(Icon!$B$3:$B44, Icon!$B$3:$B44&lt;&gt;""""),
  MIN(
    ROUNDUP(I32*COUNTA(Icon!$B$3:$B44)+1, 0),
    COUNTA(Icon!$B$3:$B44)
  )
)
"),"")</f>
        <v/>
      </c>
      <c r="K32" s="46"/>
      <c r="L32" s="42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</row>
    <row r="33" ht="22.5" customHeight="1">
      <c r="A33" s="34" t="str">
        <f t="shared" si="15"/>
        <v>4.3</v>
      </c>
      <c r="B33" s="47" t="s">
        <v>50</v>
      </c>
      <c r="C33" s="66"/>
      <c r="D33" s="37" t="str">
        <f t="shared" si="2"/>
        <v>Thứ 2</v>
      </c>
      <c r="E33" s="44">
        <v>46069.0</v>
      </c>
      <c r="F33" s="38">
        <f t="shared" si="16"/>
        <v>46073</v>
      </c>
      <c r="G33" s="38" t="str">
        <f t="shared" si="3"/>
        <v>Thứ 6</v>
      </c>
      <c r="H33" s="39">
        <v>5.0</v>
      </c>
      <c r="I33" s="40">
        <f t="shared" si="14"/>
        <v>0</v>
      </c>
      <c r="J33" s="39" t="str">
        <f>IFERROR(__xludf.DUMMYFUNCTION("INDEX(
  FILTER(Icon!$B$3:$B44, Icon!$B$3:$B44&lt;&gt;""""),
  MIN(
    ROUNDUP(I33*COUNTA(Icon!$B$3:$B44)+1, 0),
    COUNTA(Icon!$B$3:$B44)
  )
)
"),"")</f>
        <v/>
      </c>
      <c r="K33" s="46"/>
      <c r="L33" s="42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</row>
    <row r="34" ht="22.5" hidden="1" customHeight="1">
      <c r="A34" s="34" t="str">
        <f t="shared" si="15"/>
        <v>4.4</v>
      </c>
      <c r="B34" s="47"/>
      <c r="C34" s="66"/>
      <c r="D34" s="37" t="str">
        <f t="shared" si="2"/>
        <v/>
      </c>
      <c r="E34" s="37"/>
      <c r="F34" s="38" t="str">
        <f t="shared" si="16"/>
        <v/>
      </c>
      <c r="G34" s="38" t="str">
        <f t="shared" si="3"/>
        <v/>
      </c>
      <c r="H34" s="39">
        <v>1.0</v>
      </c>
      <c r="I34" s="40">
        <f t="shared" si="14"/>
        <v>0</v>
      </c>
      <c r="J34" s="39" t="str">
        <f>IFERROR(__xludf.DUMMYFUNCTION("INDEX(
  FILTER(Icon!$B$3:$B44, Icon!$B$3:$B44&lt;&gt;""""),
  MIN(
    ROUNDUP(I34*COUNTA(Icon!$B$3:$B44)+1, 0),
    COUNTA(Icon!$B$3:$B44)
  )
)
"),"")</f>
        <v/>
      </c>
      <c r="K34" s="46"/>
      <c r="L34" s="42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</row>
    <row r="35" ht="22.5" hidden="1" customHeight="1">
      <c r="A35" s="34" t="str">
        <f t="shared" si="15"/>
        <v>4.5</v>
      </c>
      <c r="B35" s="47"/>
      <c r="C35" s="48"/>
      <c r="D35" s="37" t="str">
        <f t="shared" si="2"/>
        <v/>
      </c>
      <c r="E35" s="37"/>
      <c r="F35" s="38" t="str">
        <f t="shared" si="16"/>
        <v/>
      </c>
      <c r="G35" s="38" t="str">
        <f t="shared" si="3"/>
        <v/>
      </c>
      <c r="H35" s="39">
        <v>1.0</v>
      </c>
      <c r="I35" s="40">
        <f t="shared" si="14"/>
        <v>0</v>
      </c>
      <c r="J35" s="39" t="str">
        <f>IFERROR(__xludf.DUMMYFUNCTION("INDEX(
  FILTER(Icon!$B$3:$B44, Icon!$B$3:$B44&lt;&gt;""""),
  MIN(
    ROUNDUP(I35*COUNTA(Icon!$B$3:$B44)+1, 0),
    COUNTA(Icon!$B$3:$B44)
  )
)
"),"")</f>
        <v/>
      </c>
      <c r="K35" s="46"/>
      <c r="L35" s="42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</row>
    <row r="36" ht="22.5" hidden="1" customHeight="1">
      <c r="A36" s="34" t="str">
        <f t="shared" si="15"/>
        <v>4.6</v>
      </c>
      <c r="B36" s="47"/>
      <c r="C36" s="48"/>
      <c r="D36" s="37" t="str">
        <f t="shared" si="2"/>
        <v/>
      </c>
      <c r="E36" s="37"/>
      <c r="F36" s="75" t="str">
        <f t="shared" si="16"/>
        <v/>
      </c>
      <c r="G36" s="75" t="str">
        <f t="shared" si="3"/>
        <v/>
      </c>
      <c r="H36" s="76"/>
      <c r="I36" s="77"/>
      <c r="J36" s="76" t="str">
        <f>IFERROR(__xludf.DUMMYFUNCTION("INDEX(
  FILTER(Icon!$B$3:$B44, Icon!$B$3:$B44&lt;&gt;""""),
  MIN(
    ROUNDUP(I36*COUNTA(Icon!$B$3:$B44)+1, 0),
    COUNTA(Icon!$B$3:$B44)
  )
)
"),"")</f>
        <v/>
      </c>
      <c r="K36" s="76"/>
      <c r="L36" s="78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9"/>
      <c r="BG36" s="79"/>
      <c r="BH36" s="79"/>
      <c r="BI36" s="79"/>
      <c r="BJ36" s="79"/>
      <c r="BK36" s="79"/>
      <c r="BL36" s="79"/>
      <c r="BM36" s="79"/>
      <c r="BN36" s="79"/>
      <c r="BO36" s="79"/>
      <c r="BP36" s="79"/>
    </row>
    <row r="37" ht="22.5" customHeight="1">
      <c r="A37" s="80" t="str">
        <f>IF(ISERROR(VALUE(SUBSTITUTE(OFFSET(A37,-1,0,1,1),".",""))),"1",IF(ISERROR(FIND("`",SUBSTITUTE(OFFSET(A37,-1,0,1,1),".","`",1))),TEXT(VALUE(OFFSET(A37,-1,0,1,1))+1,"#"),TEXT(VALUE(LEFT(OFFSET(A37,-1,0,1,1),FIND("`",SUBSTITUTE(OFFSET(A37,-1,0,1,1),".","`",1))-1))+1,"#")))</f>
        <v>5</v>
      </c>
      <c r="B37" s="81" t="s">
        <v>51</v>
      </c>
      <c r="C37" s="82"/>
      <c r="D37" s="83" t="str">
        <f t="shared" si="2"/>
        <v>CN</v>
      </c>
      <c r="E37" s="84">
        <v>46068.0</v>
      </c>
      <c r="F37" s="84">
        <v>46082.0</v>
      </c>
      <c r="G37" s="83" t="str">
        <f t="shared" si="3"/>
        <v>CN</v>
      </c>
      <c r="H37" s="85">
        <f>F37-E37+1</f>
        <v>15</v>
      </c>
      <c r="I37" s="86">
        <f t="shared" ref="I37:I42" si="17">K37/H37</f>
        <v>0</v>
      </c>
      <c r="J37" s="85" t="str">
        <f>IFERROR(__xludf.DUMMYFUNCTION("INDEX(
  FILTER(Icon!$B$3:$B44, Icon!$B$3:$B44&lt;&gt;""""),
  MIN(
    ROUNDUP(I37*COUNTA(Icon!$B$3:$B44)+1, 0),
    COUNTA(Icon!$B$3:$B44)
  )
)
"),"")</f>
        <v/>
      </c>
      <c r="K37" s="85"/>
      <c r="L37" s="87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</row>
    <row r="38" ht="22.5" hidden="1" customHeight="1">
      <c r="A38" s="34" t="str">
        <f t="shared" ref="A38:A42" si="18">IF(ISERROR(VALUE(SUBSTITUTE(OFFSET(A38,-1,0,1,1),".",""))),"0.1",IF(ISERROR(FIND("`",SUBSTITUTE(OFFSET(A38,-1,0,1,1),".","`",1))),OFFSET(A38,-1,0,1,1)&amp;".1",LEFT(OFFSET(A38,-1,0,1,1),FIND("`",SUBSTITUTE(OFFSET(A38,-1,0,1,1),".","`",1)))&amp;IF(ISERROR(FIND("`",SUBSTITUTE(OFFSET(A38,-1,0,1,1),".","`",2))),VALUE(RIGHT(OFFSET(A38,-1,0,1,1),LEN(OFFSET(A38,-1,0,1,1))-FIND("`",SUBSTITUTE(OFFSET(A38,-1,0,1,1),".","`",1))))+1,VALUE(MID(OFFSET(A38,-1,0,1,1),FIND("`",SUBSTITUTE(OFFSET(A38,-1,0,1,1),".","`",1))+1,(FIND("`",SUBSTITUTE(OFFSET(A38,-1,0,1,1),".","`",2))-FIND("`",SUBSTITUTE(OFFSET(A38,-1,0,1,1),".","`",1))-1)))+1)))</f>
        <v>5.1</v>
      </c>
      <c r="B38" s="47" t="s">
        <v>52</v>
      </c>
      <c r="C38" s="66"/>
      <c r="D38" s="37" t="str">
        <f t="shared" si="2"/>
        <v>Thứ 5</v>
      </c>
      <c r="E38" s="37">
        <f>$E$5</f>
        <v>46023</v>
      </c>
      <c r="F38" s="38">
        <f t="shared" ref="F38:F42" si="19">IF(E38="",,E38+H38-1)</f>
        <v>46023</v>
      </c>
      <c r="G38" s="38" t="str">
        <f t="shared" si="3"/>
        <v>Thứ 5</v>
      </c>
      <c r="H38" s="39">
        <v>1.0</v>
      </c>
      <c r="I38" s="40">
        <f t="shared" si="17"/>
        <v>0</v>
      </c>
      <c r="J38" s="39" t="str">
        <f>IFERROR(__xludf.DUMMYFUNCTION("INDEX(
  FILTER(Icon!$B$3:$B44, Icon!$B$3:$B44&lt;&gt;""""),
  MIN(
    ROUNDUP(I38*COUNTA(Icon!$B$3:$B44)+1, 0),
    COUNTA(Icon!$B$3:$B44)
  )
)
"),"")</f>
        <v/>
      </c>
      <c r="K38" s="46"/>
      <c r="L38" s="42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</row>
    <row r="39" ht="22.5" hidden="1" customHeight="1">
      <c r="A39" s="34" t="str">
        <f t="shared" si="18"/>
        <v>5.2</v>
      </c>
      <c r="B39" s="47" t="s">
        <v>52</v>
      </c>
      <c r="C39" s="66"/>
      <c r="D39" s="37" t="str">
        <f t="shared" si="2"/>
        <v/>
      </c>
      <c r="E39" s="37"/>
      <c r="F39" s="38" t="str">
        <f t="shared" si="19"/>
        <v/>
      </c>
      <c r="G39" s="38" t="str">
        <f t="shared" si="3"/>
        <v/>
      </c>
      <c r="H39" s="39">
        <v>1.0</v>
      </c>
      <c r="I39" s="40">
        <f t="shared" si="17"/>
        <v>0</v>
      </c>
      <c r="J39" s="39" t="str">
        <f>IFERROR(__xludf.DUMMYFUNCTION("INDEX(
  FILTER(Icon!$B$3:$B44, Icon!$B$3:$B44&lt;&gt;""""),
  MIN(
    ROUNDUP(I39*COUNTA(Icon!$B$3:$B44)+1, 0),
    COUNTA(Icon!$B$3:$B44)
  )
)
"),"")</f>
        <v/>
      </c>
      <c r="K39" s="46"/>
      <c r="L39" s="42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</row>
    <row r="40" ht="22.5" hidden="1" customHeight="1">
      <c r="A40" s="34" t="str">
        <f t="shared" si="18"/>
        <v>5.3</v>
      </c>
      <c r="B40" s="47" t="s">
        <v>52</v>
      </c>
      <c r="C40" s="66"/>
      <c r="D40" s="37" t="str">
        <f t="shared" si="2"/>
        <v/>
      </c>
      <c r="E40" s="37"/>
      <c r="F40" s="38" t="str">
        <f t="shared" si="19"/>
        <v/>
      </c>
      <c r="G40" s="38" t="str">
        <f t="shared" si="3"/>
        <v/>
      </c>
      <c r="H40" s="39">
        <v>1.0</v>
      </c>
      <c r="I40" s="40">
        <f t="shared" si="17"/>
        <v>0</v>
      </c>
      <c r="J40" s="39" t="str">
        <f>IFERROR(__xludf.DUMMYFUNCTION("INDEX(
  FILTER(Icon!$B$3:$B44, Icon!$B$3:$B44&lt;&gt;""""),
  MIN(
    ROUNDUP(I40*COUNTA(Icon!$B$3:$B44)+1, 0),
    COUNTA(Icon!$B$3:$B44)
  )
)
"),"")</f>
        <v/>
      </c>
      <c r="K40" s="46"/>
      <c r="L40" s="42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</row>
    <row r="41" ht="22.5" hidden="1" customHeight="1">
      <c r="A41" s="34" t="str">
        <f t="shared" si="18"/>
        <v>5.4</v>
      </c>
      <c r="B41" s="47" t="s">
        <v>52</v>
      </c>
      <c r="C41" s="66"/>
      <c r="D41" s="37" t="str">
        <f t="shared" si="2"/>
        <v/>
      </c>
      <c r="E41" s="37"/>
      <c r="F41" s="38" t="str">
        <f t="shared" si="19"/>
        <v/>
      </c>
      <c r="G41" s="38" t="str">
        <f t="shared" si="3"/>
        <v/>
      </c>
      <c r="H41" s="39">
        <v>1.0</v>
      </c>
      <c r="I41" s="40">
        <f t="shared" si="17"/>
        <v>0</v>
      </c>
      <c r="J41" s="39" t="str">
        <f>IFERROR(__xludf.DUMMYFUNCTION("INDEX(
  FILTER(Icon!$B$3:$B44, Icon!$B$3:$B44&lt;&gt;""""),
  MIN(
    ROUNDUP(I41*COUNTA(Icon!$B$3:$B44)+1, 0),
    COUNTA(Icon!$B$3:$B44)
  )
)
"),"")</f>
        <v/>
      </c>
      <c r="K41" s="46"/>
      <c r="L41" s="42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</row>
    <row r="42" ht="22.5" hidden="1" customHeight="1">
      <c r="A42" s="34" t="str">
        <f t="shared" si="18"/>
        <v>5.5</v>
      </c>
      <c r="B42" s="47" t="s">
        <v>52</v>
      </c>
      <c r="C42" s="48"/>
      <c r="D42" s="37" t="str">
        <f t="shared" si="2"/>
        <v/>
      </c>
      <c r="E42" s="37"/>
      <c r="F42" s="38" t="str">
        <f t="shared" si="19"/>
        <v/>
      </c>
      <c r="G42" s="38" t="str">
        <f t="shared" si="3"/>
        <v/>
      </c>
      <c r="H42" s="39">
        <v>1.0</v>
      </c>
      <c r="I42" s="40">
        <f t="shared" si="17"/>
        <v>0</v>
      </c>
      <c r="J42" s="39" t="str">
        <f>IFERROR(__xludf.DUMMYFUNCTION("INDEX(
  FILTER(Icon!$B$3:$B44, Icon!$B$3:$B44&lt;&gt;""""),
  MIN(
    ROUNDUP(I42*COUNTA(Icon!$B$3:$B44)+1, 0),
    COUNTA(Icon!$B$3:$B44)
  )
)
"),"")</f>
        <v/>
      </c>
      <c r="K42" s="46"/>
      <c r="L42" s="42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</row>
    <row r="43">
      <c r="A43" s="79"/>
      <c r="B43" s="79"/>
      <c r="C43" s="79"/>
      <c r="D43" s="89"/>
      <c r="E43" s="89"/>
      <c r="F43" s="89"/>
      <c r="G43" s="89"/>
      <c r="H43" s="79"/>
      <c r="I43" s="79"/>
      <c r="J43" s="79"/>
      <c r="K43" s="79"/>
      <c r="L43" s="79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</row>
    <row r="44">
      <c r="A44" s="90"/>
      <c r="B44" s="90"/>
      <c r="C44" s="90"/>
      <c r="D44" s="91"/>
      <c r="E44" s="91"/>
      <c r="F44" s="91"/>
      <c r="G44" s="91"/>
      <c r="H44" s="90"/>
      <c r="I44" s="90"/>
      <c r="J44" s="90"/>
      <c r="K44" s="90"/>
      <c r="L44" s="90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</row>
  </sheetData>
  <mergeCells count="22">
    <mergeCell ref="AH5:AN5"/>
    <mergeCell ref="AO5:AU5"/>
    <mergeCell ref="AV5:BB5"/>
    <mergeCell ref="BC5:BI5"/>
    <mergeCell ref="BJ5:BP5"/>
    <mergeCell ref="E5:F5"/>
    <mergeCell ref="E6:F6"/>
    <mergeCell ref="M6:S6"/>
    <mergeCell ref="T6:Z6"/>
    <mergeCell ref="AH6:AN6"/>
    <mergeCell ref="AO6:AU6"/>
    <mergeCell ref="AV6:BB6"/>
    <mergeCell ref="BC6:BI6"/>
    <mergeCell ref="BJ6:BP6"/>
    <mergeCell ref="K3:K4"/>
    <mergeCell ref="B5:C5"/>
    <mergeCell ref="H5:I5"/>
    <mergeCell ref="M5:S5"/>
    <mergeCell ref="T5:Z5"/>
    <mergeCell ref="AA5:AG5"/>
    <mergeCell ref="B6:C6"/>
    <mergeCell ref="AA6:AG6"/>
  </mergeCells>
  <conditionalFormatting sqref="M7:BP8">
    <cfRule type="expression" dxfId="5" priority="1">
      <formula>M$7=TODAY()</formula>
    </cfRule>
  </conditionalFormatting>
  <conditionalFormatting sqref="M9:BP44">
    <cfRule type="expression" dxfId="6" priority="2">
      <formula>AND(M$7&gt;=$E9,M$7&lt;$E9+ROUNDDOWN($I9*($F9-$E9+1),0))</formula>
    </cfRule>
  </conditionalFormatting>
  <conditionalFormatting sqref="M9:BP44">
    <cfRule type="expression" dxfId="7" priority="3">
      <formula>AND(M$7&gt;=$E9,M$7&lt;=$F9)</formula>
    </cfRule>
  </conditionalFormatting>
  <conditionalFormatting sqref="I8:J8">
    <cfRule type="containsText" dxfId="8" priority="4" operator="containsText" text="Vertex42">
      <formula>NOT(ISERROR(SEARCH(("Vertex42"),(I8))))</formula>
    </cfRule>
  </conditionalFormatting>
  <dataValidations>
    <dataValidation type="custom" allowBlank="1" showDropDown="1" sqref="E9:F42">
      <formula1>OR(NOT(ISERROR(DATEVALUE(E9))), AND(ISNUMBER(E9), LEFT(CELL("format", E9))="D"))</formula1>
    </dataValidation>
    <dataValidation type="custom" allowBlank="1" showDropDown="1" sqref="H9:I42 K9:K42">
      <formula1>AND(ISNUMBER(H9),(NOT(OR(NOT(ISERROR(DATEVALUE(H9))), AND(ISNUMBER(H9), LEFT(CELL("format", H9))="D")))))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5.13"/>
  </cols>
  <sheetData>
    <row r="2">
      <c r="A2" s="92" t="s">
        <v>53</v>
      </c>
    </row>
    <row r="3" ht="41.25" customHeight="1">
      <c r="A3" s="93">
        <v>0.0</v>
      </c>
      <c r="B3" s="94"/>
    </row>
    <row r="4" ht="41.25" customHeight="1">
      <c r="A4" s="93">
        <v>0.1</v>
      </c>
      <c r="B4" s="94"/>
    </row>
    <row r="5" ht="41.25" customHeight="1">
      <c r="A5" s="93">
        <v>0.2</v>
      </c>
      <c r="B5" s="94"/>
    </row>
    <row r="6" ht="41.25" customHeight="1">
      <c r="A6" s="93">
        <v>0.3</v>
      </c>
      <c r="B6" s="94"/>
    </row>
    <row r="7" ht="41.25" customHeight="1">
      <c r="A7" s="93">
        <v>0.4</v>
      </c>
      <c r="B7" s="94"/>
    </row>
    <row r="8" ht="41.25" customHeight="1">
      <c r="A8" s="93">
        <v>0.5</v>
      </c>
      <c r="B8" s="94"/>
    </row>
    <row r="9" ht="41.25" customHeight="1">
      <c r="A9" s="93">
        <v>0.6</v>
      </c>
      <c r="B9" s="94"/>
    </row>
    <row r="10" ht="41.25" customHeight="1">
      <c r="A10" s="93">
        <v>0.7</v>
      </c>
      <c r="B10" s="94"/>
    </row>
    <row r="11" ht="41.25" customHeight="1">
      <c r="A11" s="93">
        <v>0.8</v>
      </c>
      <c r="B11" s="94"/>
    </row>
    <row r="12" ht="41.25" customHeight="1">
      <c r="A12" s="93">
        <v>0.9</v>
      </c>
      <c r="B12" s="94"/>
    </row>
    <row r="13" ht="41.25" customHeight="1">
      <c r="A13" s="93">
        <v>1.0</v>
      </c>
      <c r="B13" s="94"/>
    </row>
  </sheetData>
  <drawing r:id="rId1"/>
</worksheet>
</file>