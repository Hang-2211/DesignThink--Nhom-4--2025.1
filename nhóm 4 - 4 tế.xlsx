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https://d.docs.live.net/62C049630E407FB3/ドキュメント/"/>
    </mc:Choice>
  </mc:AlternateContent>
  <xr:revisionPtr revIDLastSave="9" documentId="8_{7F150D02-289D-41EC-8980-8BBD4E42F87A}" xr6:coauthVersionLast="47" xr6:coauthVersionMax="47" xr10:uidLastSave="{3CFDDB9C-CC32-400D-9444-83E39BAE9219}"/>
  <bookViews>
    <workbookView xWindow="-108" yWindow="-108" windowWidth="23256" windowHeight="12456" activeTab="1" xr2:uid="{00000000-000D-0000-FFFF-FFFF00000000}"/>
  </bookViews>
  <sheets>
    <sheet name="Overall" sheetId="1" r:id="rId1"/>
    <sheet name="Evaluation- DesignThink" sheetId="3" r:id="rId2"/>
    <sheet name="Dev_plan"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 l="1"/>
</calcChain>
</file>

<file path=xl/sharedStrings.xml><?xml version="1.0" encoding="utf-8"?>
<sst xmlns="http://schemas.openxmlformats.org/spreadsheetml/2006/main" count="82" uniqueCount="80">
  <si>
    <t>EDP- 9 steps</t>
  </si>
  <si>
    <t>Determine needs</t>
  </si>
  <si>
    <t>Create Specs</t>
  </si>
  <si>
    <t>Develop plan</t>
  </si>
  <si>
    <t>Block design</t>
  </si>
  <si>
    <t>Design each block</t>
  </si>
  <si>
    <t>Select best alternatives 
&amp; Dev</t>
  </si>
  <si>
    <t xml:space="preserve">Test </t>
  </si>
  <si>
    <t>Manufacturer &amp; Delivery</t>
  </si>
  <si>
    <t>Attack plan</t>
  </si>
  <si>
    <t>Task</t>
  </si>
  <si>
    <t>Duration</t>
  </si>
  <si>
    <t>People</t>
  </si>
  <si>
    <t>Status (weekly check)</t>
  </si>
  <si>
    <t>Outcome</t>
  </si>
  <si>
    <t>Report</t>
  </si>
  <si>
    <t>Product demo</t>
  </si>
  <si>
    <t>Presentation</t>
  </si>
  <si>
    <t>Topic and define functions (chức năng) do nhóm thực hiện</t>
  </si>
  <si>
    <t>Project description</t>
  </si>
  <si>
    <t>Brainstorming phương án kỹ thuật để thực hiện từng tính năng (Chú ý đến bối cảnh sử dụng sản phẩm và người dùng là trung tâm, để xác định hình thức phù hợp)</t>
  </si>
  <si>
    <t>Information survey, comparison with selection criteria</t>
  </si>
  <si>
    <t>Design of Tests/Experiments</t>
  </si>
  <si>
    <t>-By subject/topic (big project)
- By task type: research, design, make (circuit), dev, test, presentation</t>
  </si>
  <si>
    <t>?????</t>
  </si>
  <si>
    <t>DO- CONTENT</t>
  </si>
  <si>
    <t>Mô tả mục tiêu và bối cảnh sử dụng sản phẩm</t>
  </si>
  <si>
    <t>Ghi chú từng tính năng dự kiến để phân tích, chú ý không ghi phương án kỹ thuật thực hiện trong nội dung này</t>
  </si>
  <si>
    <t>Input data: dữ liệu vào hệ thống là gì, được nhận diện, thu thập bằng cách nào. Chú ý đến "nhiễu" thông tin để giảm thiểu nhận sai thông tin dẫn đến quyết định sai</t>
  </si>
  <si>
    <t>Phương án xử lý data để ra quyết định:
- tùy vào bài toán sẽ có độ phức tạp khác nhau</t>
  </si>
  <si>
    <t xml:space="preserve">Hiển thị data out/ quyết định (action): 
- hệ thống có thực thi hành động gì
- hệ thống có hiện thị báo hiệu, thông tin cho người dùng ntn
</t>
  </si>
  <si>
    <t>LOOP: 
DO/DEV-CHECK-REVISE (REPLAN)</t>
  </si>
  <si>
    <t>Task list suggestion:
- circuit design (hardware)
- programming: firmware dev
- data visualization: connectivity, dashboard
- design of experiments</t>
  </si>
  <si>
    <r>
      <t xml:space="preserve">Thùng rác tự động được thiết kế nhằm hỗ trợ nhóm người khuyết tật, người già, và nhóm người bị hạn chế khả năng vận động để giúp bỏ rác dễ dàng mà không cần dùng nhiều lực hoặc thao tác phức tạp. - Tính năng hướng đến: - </t>
    </r>
    <r>
      <rPr>
        <sz val="10"/>
        <color rgb="FFFF0000"/>
        <rFont val="Arial"/>
        <family val="2"/>
      </rPr>
      <t xml:space="preserve">Tự động mở nắp nhờ cảm biến hoặc điều khiển bằng giọng nói. - Tự động phân loại rác. - Phản hồi âm thanh giúp nhận biết tình trạng mở (đóng) nắp thùng (dành cho người khiếm thị). - Báo đầy rác bằng âm thanh hoặc đèn LED
</t>
    </r>
    <r>
      <rPr>
        <sz val="10"/>
        <color theme="1"/>
        <rFont val="Arial"/>
        <family val="2"/>
      </rPr>
      <t xml:space="preserve">
</t>
    </r>
  </si>
  <si>
    <r>
      <t xml:space="preserve">Thùng rác tiện ích, tự động đóng mở không cần chạm, thông báo tình trạng sự dụng (đầy, không vệ sinh). 
Thùng rác có các tính năng sau: </t>
    </r>
    <r>
      <rPr>
        <sz val="10"/>
        <color rgb="FFFF0000"/>
        <rFont val="Arial"/>
        <family val="2"/>
      </rPr>
      <t>&gt;&gt;&gt; ghi chú cột bên cạnh</t>
    </r>
  </si>
  <si>
    <t>1) Tự động mở nắp nhờ cảm biến hoặc điều khiển bằng giọng nói.</t>
  </si>
  <si>
    <r>
      <t xml:space="preserve">2) Tự động phân loại rác. </t>
    </r>
    <r>
      <rPr>
        <sz val="10"/>
        <color rgb="FFFF0000"/>
        <rFont val="Arial"/>
        <family val="2"/>
      </rPr>
      <t>&gt;&gt;&gt; loại bỏ</t>
    </r>
  </si>
  <si>
    <t>3) Phản hồi âm thanh giúp nhận biết tình trạng mở (đóng) nắp thùng (dành cho người khiếm thị).</t>
  </si>
  <si>
    <t>4) Báo đầy rác bằng âm thanh hoặc đèn LED</t>
  </si>
  <si>
    <t xml:space="preserve">
Thử nghiệm (Test): test các tính năng đã đề xuất</t>
  </si>
  <si>
    <t>EDP</t>
  </si>
  <si>
    <t>Detail contents</t>
  </si>
  <si>
    <t>Eval Points</t>
  </si>
  <si>
    <t>Chương 1+2</t>
  </si>
  <si>
    <t>Determine needs 
&amp; 
Create specs</t>
  </si>
  <si>
    <t>Nội dung điều tra, phân tích sản phẩm đã có (ưu nhược điểm)</t>
  </si>
  <si>
    <t>FINAL evaluation (60%)</t>
  </si>
  <si>
    <t>1- Hằng 14/12-18/12</t>
  </si>
  <si>
    <t>Kết quả - Nhận xét</t>
  </si>
  <si>
    <t>Yêu cầu hệ thống ( yêu cầu chức năng, phi chức năng)</t>
  </si>
  <si>
    <t>1.1.1</t>
  </si>
  <si>
    <t>Chương 3</t>
  </si>
  <si>
    <t>Dev Plan</t>
  </si>
  <si>
    <t xml:space="preserve"> Lập kế hoạch chi tiết (MS Project)</t>
  </si>
  <si>
    <t>2- Hưng 18/12-20/12</t>
  </si>
  <si>
    <t>Phân chia công việc</t>
  </si>
  <si>
    <t>Chương 4</t>
  </si>
  <si>
    <t>Diagram design 
&amp; 
Detail Block Design</t>
  </si>
  <si>
    <t>Mô tả chung sơ đồ khối của hệ thống</t>
  </si>
  <si>
    <t>3- Ngân, Hiển (làm sơ đồ khối) 21-25/12</t>
  </si>
  <si>
    <t>Sơ đồ khối: đường tín hiệu, khối xử lý</t>
  </si>
  <si>
    <t>Mô tả rõ từng khối, flowchart của thuật toán xử lý (đọc dữ liệu vào, xử lý, hiển thị dữ liệu). Ghi chú/giải thích các parameters có ý nghĩa với các tính năng đề xuất</t>
  </si>
  <si>
    <t>Chương 5</t>
  </si>
  <si>
    <t>Select best alternatives &amp; Dev</t>
  </si>
  <si>
    <t>Đưa ra 2 phương án để lựa chọn</t>
  </si>
  <si>
    <t>4 - Hiển 26-27/12</t>
  </si>
  <si>
    <t>Nêu lý do chọn phương án để thiết kế</t>
  </si>
  <si>
    <t>Chương 6</t>
  </si>
  <si>
    <t xml:space="preserve">Bài test chức năng và </t>
  </si>
  <si>
    <t>MID-TERM evaluation (40%)</t>
  </si>
  <si>
    <t>2.1 - Hưng 28-29/12</t>
  </si>
  <si>
    <t>Tham số/kết quả đánh giá</t>
  </si>
  <si>
    <t>Báo cáo viết (toàn bộ các nội dung trên, format chuẩn chỉ)</t>
  </si>
  <si>
    <t>product catalog</t>
  </si>
  <si>
    <t>Demo - Presentation</t>
  </si>
  <si>
    <t>Sản phẩm + Demo + link github project của nhóm</t>
  </si>
  <si>
    <t>NOTE</t>
  </si>
  <si>
    <t>- Submit online
- Filename = groupID_topic</t>
  </si>
  <si>
    <t xml:space="preserve"> - Demo and presentation in class</t>
  </si>
  <si>
    <t>Development Plan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</si>
</sst>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font>
      <sz val="11"/>
      <color theme="1"/>
      <name val="Calibri"/>
      <family val="2"/>
      <scheme val="minor"/>
    </font>
    <font>
      <sz val="11"/>
      <color theme="1"/>
      <name val="Calibri"/>
      <family val="2"/>
      <scheme val="minor"/>
    </font>
    <font>
      <sz val="11"/>
      <color rgb="FFFF0000"/>
      <name val="Calibri"/>
      <family val="2"/>
      <scheme val="minor"/>
    </font>
    <font>
      <sz val="10"/>
      <color theme="1"/>
      <name val="Arial"/>
      <family val="2"/>
    </font>
    <font>
      <sz val="10"/>
      <color rgb="FFFF0000"/>
      <name val="Arial"/>
      <family val="2"/>
    </font>
    <font>
      <sz val="11"/>
      <color rgb="FF000000"/>
      <name val="Times New Roman"/>
      <family val="1"/>
    </font>
    <font>
      <b/>
      <sz val="18"/>
      <color rgb="FFFF000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B6D7A8"/>
        <bgColor indexed="64"/>
      </patternFill>
    </fill>
    <fill>
      <patternFill patternType="solid">
        <fgColor rgb="FFA4C2F4"/>
        <bgColor indexed="64"/>
      </patternFill>
    </fill>
    <fill>
      <patternFill patternType="solid">
        <fgColor rgb="FFB7B7B7"/>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5" tint="0.79998168889431442"/>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indexed="64"/>
      </right>
      <top/>
      <bottom/>
      <diagonal/>
    </border>
  </borders>
  <cellStyleXfs count="2">
    <xf numFmtId="0" fontId="0" fillId="0" borderId="0"/>
    <xf numFmtId="43" fontId="1" fillId="0" borderId="0" applyFont="0" applyFill="0" applyBorder="0" applyAlignment="0" applyProtection="0"/>
  </cellStyleXfs>
  <cellXfs count="55">
    <xf numFmtId="0" fontId="0" fillId="0" borderId="0" xfId="0"/>
    <xf numFmtId="0" fontId="0" fillId="0" borderId="0" xfId="0" applyAlignment="1">
      <alignment vertical="center" wrapText="1"/>
    </xf>
    <xf numFmtId="0" fontId="3" fillId="0" borderId="0" xfId="0" applyFont="1" applyAlignment="1">
      <alignment wrapText="1"/>
    </xf>
    <xf numFmtId="0" fontId="0" fillId="0" borderId="0" xfId="0" applyAlignment="1">
      <alignment vertical="top" wrapText="1"/>
    </xf>
    <xf numFmtId="0" fontId="3" fillId="5" borderId="0" xfId="0" applyFont="1" applyFill="1" applyAlignment="1">
      <alignment vertical="top" wrapText="1"/>
    </xf>
    <xf numFmtId="0" fontId="0" fillId="0" borderId="0" xfId="0" applyAlignment="1">
      <alignment vertical="top"/>
    </xf>
    <xf numFmtId="0" fontId="3" fillId="8" borderId="1" xfId="0" applyFont="1" applyFill="1" applyBorder="1" applyAlignment="1">
      <alignment vertical="top" wrapText="1"/>
    </xf>
    <xf numFmtId="0" fontId="0" fillId="2" borderId="1" xfId="0" applyFill="1" applyBorder="1" applyAlignment="1">
      <alignment vertical="top" wrapText="1"/>
    </xf>
    <xf numFmtId="0" fontId="3" fillId="3" borderId="1" xfId="0" applyFont="1" applyFill="1" applyBorder="1" applyAlignment="1">
      <alignment vertical="top" wrapText="1"/>
    </xf>
    <xf numFmtId="0" fontId="0" fillId="9" borderId="1" xfId="0" applyFill="1" applyBorder="1" applyAlignment="1">
      <alignment horizontal="center" vertical="center" wrapText="1"/>
    </xf>
    <xf numFmtId="0" fontId="0" fillId="10" borderId="1" xfId="0" applyFill="1" applyBorder="1" applyAlignment="1">
      <alignment horizontal="center" vertical="center" wrapText="1"/>
    </xf>
    <xf numFmtId="0" fontId="0" fillId="7" borderId="1" xfId="0" applyFill="1" applyBorder="1" applyAlignment="1">
      <alignment horizontal="center" vertical="center" wrapText="1"/>
    </xf>
    <xf numFmtId="164" fontId="0" fillId="6" borderId="1" xfId="1" quotePrefix="1" applyNumberFormat="1" applyFont="1" applyFill="1" applyBorder="1" applyAlignment="1">
      <alignment vertical="top" wrapText="1"/>
    </xf>
    <xf numFmtId="0" fontId="0" fillId="6" borderId="1" xfId="0" applyFill="1" applyBorder="1" applyAlignment="1">
      <alignment vertical="top"/>
    </xf>
    <xf numFmtId="0" fontId="0" fillId="6" borderId="1" xfId="0" applyFill="1" applyBorder="1" applyAlignment="1">
      <alignment horizontal="center" vertical="center" wrapText="1"/>
    </xf>
    <xf numFmtId="0" fontId="0" fillId="11" borderId="1" xfId="0" applyFill="1" applyBorder="1" applyAlignment="1">
      <alignment vertical="top"/>
    </xf>
    <xf numFmtId="0" fontId="0" fillId="0" borderId="0" xfId="0"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5" fillId="11" borderId="1" xfId="0" applyFont="1" applyFill="1" applyBorder="1" applyAlignment="1">
      <alignment horizontal="center" vertical="center" wrapText="1"/>
    </xf>
    <xf numFmtId="0" fontId="0" fillId="12" borderId="1" xfId="0" applyFill="1" applyBorder="1" applyAlignment="1">
      <alignment horizontal="center" vertical="center" wrapText="1"/>
    </xf>
    <xf numFmtId="0" fontId="0" fillId="12" borderId="1" xfId="0" applyFill="1" applyBorder="1" applyAlignment="1">
      <alignment horizontal="center" vertical="center"/>
    </xf>
    <xf numFmtId="0" fontId="3" fillId="8" borderId="0" xfId="0" applyFont="1" applyFill="1" applyAlignment="1">
      <alignment vertical="center" wrapText="1"/>
    </xf>
    <xf numFmtId="0" fontId="0" fillId="0" borderId="0" xfId="0" quotePrefix="1"/>
    <xf numFmtId="0" fontId="5" fillId="0" borderId="0" xfId="0" quotePrefix="1" applyFont="1" applyAlignment="1">
      <alignment horizontal="left" vertical="center" wrapText="1"/>
    </xf>
    <xf numFmtId="0" fontId="0" fillId="11" borderId="1" xfId="0" applyFill="1" applyBorder="1" applyAlignment="1">
      <alignment horizontal="center" vertical="center" wrapText="1"/>
    </xf>
    <xf numFmtId="0" fontId="6" fillId="0" borderId="0" xfId="0" applyFont="1" applyAlignment="1">
      <alignment horizontal="center" vertical="center" wrapText="1"/>
    </xf>
    <xf numFmtId="0" fontId="0" fillId="13" borderId="0" xfId="0" applyFill="1" applyAlignment="1">
      <alignment horizontal="center" vertical="center" wrapText="1"/>
    </xf>
    <xf numFmtId="0" fontId="0" fillId="11" borderId="1" xfId="0" applyFill="1" applyBorder="1" applyAlignment="1">
      <alignment horizontal="center" vertical="top"/>
    </xf>
    <xf numFmtId="0" fontId="0" fillId="0" borderId="7" xfId="0" applyBorder="1"/>
    <xf numFmtId="0" fontId="3" fillId="0" borderId="0" xfId="0" applyFont="1" applyAlignment="1">
      <alignment vertical="top" wrapText="1"/>
    </xf>
    <xf numFmtId="0" fontId="3" fillId="4" borderId="1" xfId="0" applyFont="1" applyFill="1" applyBorder="1" applyAlignment="1">
      <alignment vertical="top" wrapText="1"/>
    </xf>
    <xf numFmtId="0" fontId="0" fillId="0" borderId="1" xfId="0" applyBorder="1" applyAlignment="1">
      <alignment horizontal="center" vertical="center" wrapText="1"/>
    </xf>
    <xf numFmtId="0" fontId="3" fillId="7" borderId="1" xfId="0" quotePrefix="1" applyFont="1" applyFill="1" applyBorder="1" applyAlignment="1">
      <alignment horizontal="center" vertical="center" wrapText="1"/>
    </xf>
    <xf numFmtId="0" fontId="3" fillId="0" borderId="0" xfId="0" applyFont="1" applyAlignment="1">
      <alignment vertical="top" wrapText="1"/>
    </xf>
    <xf numFmtId="0" fontId="3" fillId="3" borderId="1" xfId="0" applyFont="1" applyFill="1" applyBorder="1" applyAlignment="1">
      <alignment horizontal="center" vertical="center" wrapText="1"/>
    </xf>
    <xf numFmtId="0" fontId="3" fillId="4" borderId="1" xfId="0" applyFont="1" applyFill="1" applyBorder="1" applyAlignment="1">
      <alignment vertical="top" wrapText="1"/>
    </xf>
    <xf numFmtId="0" fontId="3" fillId="0" borderId="0" xfId="0" applyFont="1" applyAlignment="1">
      <alignment horizontal="left" vertical="top" wrapText="1"/>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9" xfId="0" quotePrefix="1" applyBorder="1" applyAlignment="1">
      <alignment horizontal="center"/>
    </xf>
    <xf numFmtId="0" fontId="0" fillId="0" borderId="11" xfId="0" quotePrefix="1" applyBorder="1" applyAlignment="1">
      <alignment horizontal="center"/>
    </xf>
    <xf numFmtId="0" fontId="0" fillId="0" borderId="10" xfId="0" quotePrefix="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12" borderId="4" xfId="0" applyFill="1" applyBorder="1" applyAlignment="1">
      <alignment horizontal="center" vertical="center"/>
    </xf>
    <xf numFmtId="0" fontId="0" fillId="12" borderId="5" xfId="0" applyFill="1" applyBorder="1" applyAlignment="1">
      <alignment horizontal="center" vertical="center"/>
    </xf>
    <xf numFmtId="0" fontId="0" fillId="8" borderId="1" xfId="0" applyFill="1" applyBorder="1" applyAlignment="1">
      <alignment horizontal="center" vertical="center" wrapText="1"/>
    </xf>
    <xf numFmtId="0" fontId="0" fillId="0" borderId="1" xfId="0" applyBorder="1" applyAlignment="1">
      <alignment horizontal="center" vertical="center" wrapText="1"/>
    </xf>
    <xf numFmtId="0" fontId="2" fillId="0" borderId="8" xfId="0" quotePrefix="1"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0" fillId="0" borderId="12" xfId="0"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600075</xdr:colOff>
      <xdr:row>0</xdr:row>
      <xdr:rowOff>0</xdr:rowOff>
    </xdr:from>
    <xdr:to>
      <xdr:col>20</xdr:col>
      <xdr:colOff>371475</xdr:colOff>
      <xdr:row>27</xdr:row>
      <xdr:rowOff>129540</xdr:rowOff>
    </xdr:to>
    <xdr:pic>
      <xdr:nvPicPr>
        <xdr:cNvPr id="3" name="Picture 1" descr="Construction of a House - Gant Chart Example">
          <a:extLst>
            <a:ext uri="{FF2B5EF4-FFF2-40B4-BE49-F238E27FC236}">
              <a16:creationId xmlns:a16="http://schemas.microsoft.com/office/drawing/2014/main" id="{7AE5845F-5C91-B74B-A1C9-0FD668C3A6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5" y="0"/>
          <a:ext cx="10744200" cy="506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2"/>
  <sheetViews>
    <sheetView topLeftCell="B1" zoomScale="95" zoomScaleNormal="95" workbookViewId="0">
      <pane xSplit="3" ySplit="2" topLeftCell="N3" activePane="bottomRight" state="frozen"/>
      <selection pane="bottomRight" activeCell="L2" sqref="L2"/>
      <selection pane="bottomLeft" activeCell="B3" sqref="B3"/>
      <selection pane="topRight" activeCell="F1" sqref="F1"/>
    </sheetView>
  </sheetViews>
  <sheetFormatPr defaultRowHeight="14.45"/>
  <cols>
    <col min="1" max="9" width="21.5703125" customWidth="1"/>
    <col min="10" max="10" width="26" customWidth="1"/>
    <col min="12" max="12" width="28.42578125" customWidth="1"/>
    <col min="20" max="20" width="12" customWidth="1"/>
  </cols>
  <sheetData>
    <row r="1" spans="1:20" s="3" customFormat="1" ht="43.15">
      <c r="B1" s="26" t="s">
        <v>0</v>
      </c>
      <c r="C1" s="9" t="s">
        <v>1</v>
      </c>
      <c r="D1" s="9" t="s">
        <v>2</v>
      </c>
      <c r="E1" s="10" t="s">
        <v>3</v>
      </c>
      <c r="F1" s="10" t="s">
        <v>4</v>
      </c>
      <c r="G1" s="10" t="s">
        <v>5</v>
      </c>
      <c r="H1" s="11" t="s">
        <v>6</v>
      </c>
      <c r="I1" s="11" t="s">
        <v>7</v>
      </c>
      <c r="J1" s="27" t="s">
        <v>8</v>
      </c>
      <c r="K1" s="14" t="s">
        <v>9</v>
      </c>
      <c r="L1" s="14" t="s">
        <v>10</v>
      </c>
      <c r="M1" s="14" t="s">
        <v>11</v>
      </c>
      <c r="N1" s="14" t="s">
        <v>12</v>
      </c>
      <c r="O1" s="14" t="s">
        <v>13</v>
      </c>
      <c r="Q1" s="25" t="s">
        <v>14</v>
      </c>
      <c r="R1" s="25" t="s">
        <v>15</v>
      </c>
      <c r="S1" s="25" t="s">
        <v>16</v>
      </c>
      <c r="T1" s="25" t="s">
        <v>17</v>
      </c>
    </row>
    <row r="2" spans="1:20" s="5" customFormat="1" ht="62.25" customHeight="1">
      <c r="A2" s="34"/>
      <c r="B2" s="22" t="s">
        <v>18</v>
      </c>
      <c r="C2" s="35" t="s">
        <v>19</v>
      </c>
      <c r="D2" s="35"/>
      <c r="E2" s="36" t="s">
        <v>20</v>
      </c>
      <c r="F2" s="36"/>
      <c r="G2" s="36"/>
      <c r="H2" s="6" t="s">
        <v>21</v>
      </c>
      <c r="I2" s="7" t="s">
        <v>22</v>
      </c>
      <c r="L2" s="12" t="s">
        <v>23</v>
      </c>
      <c r="M2" s="13"/>
      <c r="N2" s="13"/>
      <c r="O2" s="13"/>
      <c r="R2" s="15"/>
      <c r="S2" s="28" t="s">
        <v>24</v>
      </c>
      <c r="T2" s="15"/>
    </row>
    <row r="3" spans="1:20" ht="118.9">
      <c r="A3" s="34"/>
      <c r="B3" s="22" t="s">
        <v>25</v>
      </c>
      <c r="C3" s="8" t="s">
        <v>26</v>
      </c>
      <c r="D3" s="8" t="s">
        <v>27</v>
      </c>
      <c r="E3" s="31" t="s">
        <v>28</v>
      </c>
      <c r="F3" s="31" t="s">
        <v>29</v>
      </c>
      <c r="G3" s="31" t="s">
        <v>30</v>
      </c>
      <c r="H3" s="33" t="s">
        <v>31</v>
      </c>
      <c r="I3" s="33"/>
      <c r="L3" s="3" t="s">
        <v>32</v>
      </c>
    </row>
    <row r="4" spans="1:20" s="5" customFormat="1" ht="172.15" customHeight="1">
      <c r="A4" s="34"/>
      <c r="B4" s="34" t="s">
        <v>33</v>
      </c>
      <c r="C4" s="37" t="s">
        <v>34</v>
      </c>
      <c r="D4" s="30" t="s">
        <v>35</v>
      </c>
      <c r="E4" s="30"/>
      <c r="F4" s="30"/>
      <c r="G4" s="30"/>
      <c r="H4" s="30"/>
    </row>
    <row r="5" spans="1:20" ht="26.45">
      <c r="A5" s="34"/>
      <c r="B5" s="34"/>
      <c r="C5" s="37"/>
      <c r="D5" s="4" t="s">
        <v>36</v>
      </c>
      <c r="E5" s="2"/>
      <c r="F5" s="2"/>
      <c r="G5" s="2"/>
      <c r="H5" s="2"/>
    </row>
    <row r="6" spans="1:20" ht="66">
      <c r="A6" s="34"/>
      <c r="B6" s="34"/>
      <c r="C6" s="37"/>
      <c r="D6" s="30" t="s">
        <v>37</v>
      </c>
      <c r="E6" s="2"/>
      <c r="F6" s="2"/>
      <c r="G6" s="2"/>
      <c r="H6" s="2"/>
    </row>
    <row r="7" spans="1:20" ht="26.45">
      <c r="A7" s="34"/>
      <c r="B7" s="34"/>
      <c r="C7" s="37"/>
      <c r="D7" s="30" t="s">
        <v>38</v>
      </c>
      <c r="E7" s="2"/>
      <c r="F7" s="2"/>
      <c r="G7" s="2"/>
      <c r="H7" s="2"/>
    </row>
    <row r="8" spans="1:20" ht="148.5" customHeight="1">
      <c r="A8" s="30" t="s">
        <v>39</v>
      </c>
      <c r="B8" s="2"/>
      <c r="C8" s="30"/>
      <c r="D8" s="30"/>
      <c r="E8" s="2"/>
      <c r="F8" s="2"/>
      <c r="G8" s="2"/>
      <c r="H8" s="2"/>
    </row>
    <row r="9" spans="1:20">
      <c r="A9" s="30"/>
      <c r="B9" s="2"/>
      <c r="C9" s="30"/>
      <c r="D9" s="30"/>
      <c r="E9" s="2"/>
      <c r="F9" s="2"/>
      <c r="G9" s="2"/>
      <c r="H9" s="2"/>
    </row>
    <row r="10" spans="1:20">
      <c r="A10" s="30"/>
      <c r="B10" s="2"/>
      <c r="C10" s="30"/>
      <c r="D10" s="30"/>
      <c r="E10" s="2"/>
      <c r="F10" s="2"/>
      <c r="G10" s="2"/>
      <c r="H10" s="2"/>
    </row>
    <row r="11" spans="1:20">
      <c r="A11" s="30"/>
      <c r="B11" s="2"/>
      <c r="C11" s="30"/>
      <c r="D11" s="30"/>
      <c r="E11" s="2"/>
      <c r="F11" s="2"/>
      <c r="G11" s="2"/>
      <c r="H11" s="2"/>
    </row>
    <row r="12" spans="1:20">
      <c r="A12" s="30"/>
      <c r="B12" s="2"/>
      <c r="C12" s="30"/>
      <c r="D12" s="30"/>
      <c r="E12" s="2"/>
      <c r="F12" s="2"/>
      <c r="G12" s="2"/>
      <c r="H12" s="2"/>
    </row>
    <row r="13" spans="1:20">
      <c r="A13" s="30"/>
      <c r="B13" s="2"/>
      <c r="C13" s="30"/>
      <c r="D13" s="30"/>
      <c r="E13" s="2"/>
      <c r="F13" s="2"/>
      <c r="G13" s="2"/>
      <c r="H13" s="2"/>
    </row>
    <row r="14" spans="1:20">
      <c r="A14" s="2"/>
      <c r="B14" s="2"/>
      <c r="C14" s="30"/>
      <c r="D14" s="30"/>
      <c r="E14" s="2"/>
      <c r="F14" s="2"/>
      <c r="G14" s="2"/>
      <c r="H14" s="2"/>
    </row>
    <row r="15" spans="1:20">
      <c r="A15" s="2"/>
      <c r="B15" s="2"/>
      <c r="C15" s="30"/>
      <c r="D15" s="30"/>
      <c r="E15" s="2"/>
      <c r="F15" s="2"/>
      <c r="G15" s="2"/>
      <c r="H15" s="2"/>
    </row>
    <row r="16" spans="1:20">
      <c r="A16" s="2"/>
      <c r="B16" s="2"/>
      <c r="C16" s="30"/>
      <c r="D16" s="30"/>
      <c r="E16" s="2"/>
      <c r="F16" s="2"/>
      <c r="G16" s="2"/>
      <c r="H16" s="2"/>
    </row>
    <row r="17" spans="1:8">
      <c r="A17" s="2"/>
      <c r="B17" s="2"/>
      <c r="C17" s="30"/>
      <c r="D17" s="30"/>
      <c r="E17" s="2"/>
      <c r="F17" s="2"/>
      <c r="G17" s="2"/>
      <c r="H17" s="2"/>
    </row>
    <row r="18" spans="1:8">
      <c r="A18" s="2"/>
      <c r="B18" s="2"/>
      <c r="C18" s="30"/>
      <c r="D18" s="30"/>
      <c r="E18" s="2"/>
      <c r="F18" s="2"/>
      <c r="G18" s="2"/>
      <c r="H18" s="2"/>
    </row>
    <row r="19" spans="1:8">
      <c r="A19" s="2"/>
      <c r="B19" s="2"/>
      <c r="C19" s="30"/>
      <c r="D19" s="30"/>
      <c r="E19" s="2"/>
      <c r="F19" s="2"/>
      <c r="G19" s="2"/>
      <c r="H19" s="2"/>
    </row>
    <row r="20" spans="1:8">
      <c r="A20" s="2"/>
      <c r="B20" s="2"/>
      <c r="C20" s="30"/>
      <c r="D20" s="30"/>
      <c r="E20" s="2"/>
      <c r="F20" s="2"/>
      <c r="G20" s="2"/>
      <c r="H20" s="2"/>
    </row>
    <row r="21" spans="1:8">
      <c r="A21" s="2"/>
      <c r="B21" s="2"/>
      <c r="C21" s="30"/>
      <c r="D21" s="30"/>
      <c r="E21" s="2"/>
      <c r="F21" s="2"/>
      <c r="G21" s="2"/>
      <c r="H21" s="2"/>
    </row>
    <row r="22" spans="1:8">
      <c r="A22" s="2"/>
      <c r="B22" s="2"/>
      <c r="C22" s="30"/>
      <c r="D22" s="30"/>
      <c r="E22" s="2"/>
      <c r="F22" s="2"/>
      <c r="G22" s="2"/>
      <c r="H22" s="2"/>
    </row>
  </sheetData>
  <mergeCells count="6">
    <mergeCell ref="H3:I3"/>
    <mergeCell ref="A2:A7"/>
    <mergeCell ref="C2:D2"/>
    <mergeCell ref="E2:G2"/>
    <mergeCell ref="B4:B7"/>
    <mergeCell ref="C4:C7"/>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B9CFC-AEF1-4E93-AEA2-DAE0DA5147E2}">
  <dimension ref="A1:H19"/>
  <sheetViews>
    <sheetView tabSelected="1" topLeftCell="A9" zoomScale="81" zoomScaleNormal="81" workbookViewId="0">
      <selection activeCell="C18" sqref="C18"/>
    </sheetView>
  </sheetViews>
  <sheetFormatPr defaultRowHeight="14.45"/>
  <cols>
    <col min="1" max="1" width="28.28515625" customWidth="1"/>
    <col min="2" max="2" width="19.7109375" style="1" customWidth="1"/>
    <col min="3" max="3" width="50.85546875" customWidth="1"/>
    <col min="4" max="4" width="10.5703125" style="16" customWidth="1"/>
    <col min="5" max="5" width="13.7109375" customWidth="1"/>
    <col min="6" max="6" width="45.28515625" style="29" customWidth="1"/>
  </cols>
  <sheetData>
    <row r="1" spans="1:8" ht="22.15" customHeight="1">
      <c r="B1" s="20" t="s">
        <v>40</v>
      </c>
      <c r="C1" s="21" t="s">
        <v>41</v>
      </c>
      <c r="D1" s="46" t="s">
        <v>42</v>
      </c>
      <c r="E1" s="47"/>
    </row>
    <row r="2" spans="1:8" ht="48" customHeight="1">
      <c r="A2" s="54" t="s">
        <v>43</v>
      </c>
      <c r="B2" s="49" t="s">
        <v>44</v>
      </c>
      <c r="C2" s="17" t="s">
        <v>45</v>
      </c>
      <c r="D2" s="48">
        <v>5</v>
      </c>
      <c r="E2" s="50" t="s">
        <v>46</v>
      </c>
      <c r="F2" s="38" t="s">
        <v>47</v>
      </c>
      <c r="H2">
        <v>1</v>
      </c>
    </row>
    <row r="3" spans="1:8" ht="20.100000000000001" customHeight="1">
      <c r="A3" s="54"/>
      <c r="B3" s="49"/>
      <c r="C3" s="17" t="s">
        <v>48</v>
      </c>
      <c r="D3" s="48"/>
      <c r="E3" s="51"/>
      <c r="F3" s="38"/>
      <c r="H3">
        <v>1.1000000000000001</v>
      </c>
    </row>
    <row r="4" spans="1:8" ht="20.100000000000001" customHeight="1">
      <c r="A4" s="54"/>
      <c r="B4" s="49"/>
      <c r="C4" s="17" t="s">
        <v>49</v>
      </c>
      <c r="D4" s="48"/>
      <c r="E4" s="51"/>
      <c r="F4" s="39"/>
      <c r="H4" t="s">
        <v>50</v>
      </c>
    </row>
    <row r="5" spans="1:8" ht="20.100000000000001" customHeight="1">
      <c r="A5" s="54" t="s">
        <v>51</v>
      </c>
      <c r="B5" s="49" t="s">
        <v>52</v>
      </c>
      <c r="C5" s="17" t="s">
        <v>53</v>
      </c>
      <c r="D5" s="49">
        <v>2</v>
      </c>
      <c r="E5" s="51"/>
      <c r="F5" s="39" t="s">
        <v>54</v>
      </c>
    </row>
    <row r="6" spans="1:8" ht="20.100000000000001" customHeight="1">
      <c r="A6" s="54"/>
      <c r="B6" s="49"/>
      <c r="C6" s="17" t="s">
        <v>55</v>
      </c>
      <c r="D6" s="49"/>
      <c r="E6" s="51"/>
      <c r="F6" s="40"/>
    </row>
    <row r="7" spans="1:8" ht="20.100000000000001" customHeight="1">
      <c r="A7" s="54" t="s">
        <v>56</v>
      </c>
      <c r="B7" s="49" t="s">
        <v>57</v>
      </c>
      <c r="C7" s="17" t="s">
        <v>58</v>
      </c>
      <c r="D7" s="49">
        <v>4</v>
      </c>
      <c r="E7" s="51"/>
      <c r="F7" s="41" t="s">
        <v>59</v>
      </c>
    </row>
    <row r="8" spans="1:8" ht="20.100000000000001" customHeight="1">
      <c r="A8" s="54"/>
      <c r="B8" s="49"/>
      <c r="C8" s="17" t="s">
        <v>60</v>
      </c>
      <c r="D8" s="49"/>
      <c r="E8" s="51"/>
      <c r="F8" s="42"/>
    </row>
    <row r="9" spans="1:8" ht="52.9" customHeight="1">
      <c r="A9" s="54"/>
      <c r="B9" s="49"/>
      <c r="C9" s="17" t="s">
        <v>61</v>
      </c>
      <c r="D9" s="49"/>
      <c r="E9" s="51"/>
      <c r="F9" s="43"/>
    </row>
    <row r="10" spans="1:8" ht="20.100000000000001" customHeight="1">
      <c r="A10" s="54" t="s">
        <v>62</v>
      </c>
      <c r="B10" s="49" t="s">
        <v>63</v>
      </c>
      <c r="C10" s="17" t="s">
        <v>64</v>
      </c>
      <c r="D10" s="49">
        <v>2</v>
      </c>
      <c r="E10" s="51"/>
      <c r="F10" s="39" t="s">
        <v>65</v>
      </c>
    </row>
    <row r="11" spans="1:8" ht="20.100000000000001" customHeight="1">
      <c r="A11" s="54"/>
      <c r="B11" s="49"/>
      <c r="C11" s="17" t="s">
        <v>66</v>
      </c>
      <c r="D11" s="49"/>
      <c r="E11" s="51"/>
      <c r="F11" s="40"/>
    </row>
    <row r="12" spans="1:8" ht="20.100000000000001" customHeight="1">
      <c r="A12" s="54" t="s">
        <v>67</v>
      </c>
      <c r="B12" s="44" t="s">
        <v>22</v>
      </c>
      <c r="C12" s="17" t="s">
        <v>68</v>
      </c>
      <c r="D12" s="44">
        <v>2</v>
      </c>
      <c r="E12" s="52" t="s">
        <v>69</v>
      </c>
      <c r="F12" s="39" t="s">
        <v>70</v>
      </c>
    </row>
    <row r="13" spans="1:8" ht="20.100000000000001" customHeight="1">
      <c r="A13" s="54"/>
      <c r="B13" s="45"/>
      <c r="C13" s="17" t="s">
        <v>71</v>
      </c>
      <c r="D13" s="45"/>
      <c r="E13" s="52"/>
      <c r="F13" s="40"/>
    </row>
    <row r="14" spans="1:8" ht="20.100000000000001" customHeight="1">
      <c r="B14" s="44" t="s">
        <v>15</v>
      </c>
      <c r="C14" s="17" t="s">
        <v>72</v>
      </c>
      <c r="D14" s="18">
        <v>1</v>
      </c>
      <c r="E14" s="52"/>
    </row>
    <row r="15" spans="1:8" ht="20.100000000000001" customHeight="1">
      <c r="B15" s="45"/>
      <c r="C15" s="17" t="s">
        <v>73</v>
      </c>
      <c r="D15" s="18">
        <v>1</v>
      </c>
      <c r="E15" s="52"/>
    </row>
    <row r="16" spans="1:8" ht="20.100000000000001" customHeight="1">
      <c r="B16" s="32" t="s">
        <v>74</v>
      </c>
      <c r="C16" s="19" t="s">
        <v>75</v>
      </c>
      <c r="D16" s="18">
        <v>3</v>
      </c>
      <c r="E16" s="53"/>
    </row>
    <row r="17" spans="2:4" ht="20.100000000000001" customHeight="1">
      <c r="D17" s="16">
        <f>SUM(D2:D16)</f>
        <v>20</v>
      </c>
    </row>
    <row r="18" spans="2:4" ht="27.6">
      <c r="B18" s="1" t="s">
        <v>76</v>
      </c>
      <c r="C18" s="24" t="s">
        <v>77</v>
      </c>
    </row>
    <row r="19" spans="2:4">
      <c r="C19" s="23" t="s">
        <v>78</v>
      </c>
    </row>
  </sheetData>
  <mergeCells count="24">
    <mergeCell ref="A7:A9"/>
    <mergeCell ref="A10:A11"/>
    <mergeCell ref="A12:A13"/>
    <mergeCell ref="A2:A4"/>
    <mergeCell ref="A5:A6"/>
    <mergeCell ref="B14:B15"/>
    <mergeCell ref="D1:E1"/>
    <mergeCell ref="D2:D4"/>
    <mergeCell ref="D5:D6"/>
    <mergeCell ref="D7:D9"/>
    <mergeCell ref="D10:D11"/>
    <mergeCell ref="D12:D13"/>
    <mergeCell ref="E2:E11"/>
    <mergeCell ref="E12:E16"/>
    <mergeCell ref="B5:B6"/>
    <mergeCell ref="B7:B9"/>
    <mergeCell ref="B10:B11"/>
    <mergeCell ref="B2:B4"/>
    <mergeCell ref="B12:B13"/>
    <mergeCell ref="F2:F4"/>
    <mergeCell ref="F5:F6"/>
    <mergeCell ref="F7:F9"/>
    <mergeCell ref="F10:F11"/>
    <mergeCell ref="F12:F13"/>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B111E-6A0F-48AA-B6EF-CBB7ABB56E99}">
  <dimension ref="A2"/>
  <sheetViews>
    <sheetView workbookViewId="0">
      <selection activeCell="E25" sqref="E25"/>
    </sheetView>
  </sheetViews>
  <sheetFormatPr defaultRowHeight="14.45"/>
  <sheetData>
    <row r="2" spans="1:1">
      <c r="A2" t="s">
        <v>79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9DA48964273C44A660843BA0E6F6C8" ma:contentTypeVersion="3" ma:contentTypeDescription="Create a new document." ma:contentTypeScope="" ma:versionID="3622d0c082751928412bf1c1f06e638d">
  <xsd:schema xmlns:xsd="http://www.w3.org/2001/XMLSchema" xmlns:xs="http://www.w3.org/2001/XMLSchema" xmlns:p="http://schemas.microsoft.com/office/2006/metadata/properties" xmlns:ns2="932608f1-4a38-4cc3-8de6-759906eea24b" targetNamespace="http://schemas.microsoft.com/office/2006/metadata/properties" ma:root="true" ma:fieldsID="da638fe3cd6b2d677808c4f742abc1eb" ns2:_="">
    <xsd:import namespace="932608f1-4a38-4cc3-8de6-759906eea24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2608f1-4a38-4cc3-8de6-759906eea24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B9EBEF-7181-44E1-AFA7-7FEDE662FC62}"/>
</file>

<file path=customXml/itemProps2.xml><?xml version="1.0" encoding="utf-8"?>
<ds:datastoreItem xmlns:ds="http://schemas.openxmlformats.org/officeDocument/2006/customXml" ds:itemID="{97EDE6BE-1A82-479E-82F0-915B95109557}"/>
</file>

<file path=customXml/itemProps3.xml><?xml version="1.0" encoding="utf-8"?>
<ds:datastoreItem xmlns:ds="http://schemas.openxmlformats.org/officeDocument/2006/customXml" ds:itemID="{D88A8D4A-40B5-4D23-ADEE-138AB5741B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pkieuha</dc:creator>
  <cp:keywords/>
  <dc:description/>
  <cp:lastModifiedBy>Guest User</cp:lastModifiedBy>
  <cp:revision/>
  <dcterms:created xsi:type="dcterms:W3CDTF">2015-06-05T18:17:20Z</dcterms:created>
  <dcterms:modified xsi:type="dcterms:W3CDTF">2025-12-26T07:00:22Z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0x010100DA9DA48964273C44A660843BA0E6F6C8</vt:lpwstr>
  </property>
</Properties>
</file>